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Domain tracker" sheetId="2" state="visible" r:id="rId4"/>
    <sheet name="Source register" sheetId="3" state="visible" r:id="rId5"/>
    <sheet name="Data dictionary" sheetId="4" state="visible" r:id="rId6"/>
    <sheet name="Thresholds" sheetId="5" state="visible" r:id="rId7"/>
    <sheet name="Dictionary guide" sheetId="6" state="visible" r:id="rId8"/>
    <sheet name="Rules" sheetId="7" state="visible" r:id="rId9"/>
    <sheet name="Recommendation cards" sheetId="8" state="visible" r:id="rId10"/>
    <sheet name="Test cases" sheetId="9" state="visible" r:id="rId11"/>
    <sheet name="Lists" sheetId="10" state="visible" r:id="rId12"/>
  </sheets>
  <definedNames>
    <definedName function="false" hidden="true" localSheetId="3" name="_xlnm._FilterDatabase" vbProcedure="false">'Data dictionary'!$A$1:$Q$21</definedName>
    <definedName function="false" hidden="true" localSheetId="7" name="_xlnm._FilterDatabase" vbProcedure="false">'Recommendation cards'!$A$1:$Q$7</definedName>
    <definedName function="false" hidden="true" localSheetId="6" name="_xlnm._FilterDatabase" vbProcedure="false">Rules!$A$1:$T$23</definedName>
    <definedName function="false" hidden="true" localSheetId="2" name="_xlnm._FilterDatabase" vbProcedure="false">'Source register'!$A$1:$M$18</definedName>
    <definedName function="false" hidden="true" localSheetId="8" name="_xlnm._FilterDatabase" vbProcedure="false">'Test cases'!$A$1:$L$7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<sst xmlns="http://schemas.openxmlformats.org/spreadsheetml/2006/main" count="1614" uniqueCount="877">
  <si>
    <t xml:space="preserve">Parthia Health — Heart Failure Clinical Knowledge Base</t>
  </si>
  <si>
    <t xml:space="preserve">Purpose</t>
  </si>
  <si>
    <t xml:space="preserve">Organizes the clinical knowledge the safety engine and AI agents use. Every rule and card must trace back to a registered source.</t>
  </si>
  <si>
    <t xml:space="preserve">Sheets</t>
  </si>
  <si>
    <t xml:space="preserve">Source register</t>
  </si>
  <si>
    <t xml:space="preserve">One row per source document (guideline, decision pathway, statement, drug label, patient education). Record version, license status and whether full text may be stored.</t>
  </si>
  <si>
    <t xml:space="preserve">Rules</t>
  </si>
  <si>
    <t xml:space="preserve">Deterministic logic for the safety engine: thresholds and yes/no checks. The software engineer turns each approved row into code and a test.</t>
  </si>
  <si>
    <t xml:space="preserve">Recommendation cards</t>
  </si>
  <si>
    <t xml:space="preserve">One guideline recommendation per row, written in your own words, with metadata. Loaded into the knowledge base for agents to retrieve and cite.</t>
  </si>
  <si>
    <t xml:space="preserve">Domain tracker</t>
  </si>
  <si>
    <t xml:space="preserve">Progress for the 10 clinical domains: targets (blue, editable) and approved counts (automatic).</t>
  </si>
  <si>
    <t xml:space="preserve">Thresholds</t>
  </si>
  <si>
    <t xml:space="preserve">Reference ranges, heart failure targets, alert and urgent limits for each measurement, with the order agents use to pick a threshold.</t>
  </si>
  <si>
    <t xml:space="preserve">Dictionary guide</t>
  </si>
  <si>
    <t xml:space="preserve">What to enter in each column, how agents must use the dictionary, and which sources complete it.</t>
  </si>
  <si>
    <t xml:space="preserve">Data dictionary</t>
  </si>
  <si>
    <t xml:space="preserve">The patient data we capture and why. Each element lists the rules that need it, its standard code, source and frequency.</t>
  </si>
  <si>
    <t xml:space="preserve">Test cases</t>
  </si>
  <si>
    <t xml:space="preserve">Clinical scenarios with the expected findings, including negative tests. Engineers run these after every change.</t>
  </si>
  <si>
    <t xml:space="preserve">Lists</t>
  </si>
  <si>
    <t xml:space="preserve">Allowed values for the dropdown columns. Edit here to add options.</t>
  </si>
  <si>
    <t xml:space="preserve">How to fill it in</t>
  </si>
  <si>
    <t xml:space="preserve">1</t>
  </si>
  <si>
    <t xml:space="preserve">Add each new source to the Source register first and give it an ID (S01, S02…).</t>
  </si>
  <si>
    <t xml:space="preserve">2</t>
  </si>
  <si>
    <t xml:space="preserve">Extract rules and cards from that source; put its Source ID in every row.</t>
  </si>
  <si>
    <t xml:space="preserve">3</t>
  </si>
  <si>
    <t xml:space="preserve">Write recommendations in your own words (copyright). Note the section/page so anyone can verify.</t>
  </si>
  <si>
    <t xml:space="preserve">4</t>
  </si>
  <si>
    <t xml:space="preserve">Set Review status. Only rows marked 'Approved' are used by the app.</t>
  </si>
  <si>
    <t xml:space="preserve">5</t>
  </si>
  <si>
    <t xml:space="preserve">A second clinician reviews every row before approval; fill in Reviewed by and Date reviewed.</t>
  </si>
  <si>
    <t xml:space="preserve">Legend</t>
  </si>
  <si>
    <t xml:space="preserve">Shaded rows</t>
  </si>
  <si>
    <t xml:space="preserve">Pre-filled DRAFT examples. Thresholds, classes of recommendation and levels of evidence must be verified against the original source before approval.</t>
  </si>
  <si>
    <t xml:space="preserve">Dropdown columns</t>
  </si>
  <si>
    <t xml:space="preserve">Category, Severity, Agent, Review status, License status and similar columns use lists from the Lists sheet.</t>
  </si>
  <si>
    <t xml:space="preserve">Status summary</t>
  </si>
  <si>
    <t xml:space="preserve">Sheet</t>
  </si>
  <si>
    <t xml:space="preserve">Draft – verify</t>
  </si>
  <si>
    <t xml:space="preserve">In review</t>
  </si>
  <si>
    <t xml:space="preserve">Approved</t>
  </si>
  <si>
    <t xml:space="preserve">Retired</t>
  </si>
  <si>
    <t xml:space="preserve">Domain</t>
  </si>
  <si>
    <t xml:space="preserve">Key question for the agents</t>
  </si>
  <si>
    <t xml:space="preserve">Week</t>
  </si>
  <si>
    <t xml:space="preserve">Main sources</t>
  </si>
  <si>
    <t xml:space="preserve">Target rules</t>
  </si>
  <si>
    <t xml:space="preserve">Rules approved</t>
  </si>
  <si>
    <t xml:space="preserve">Target cards</t>
  </si>
  <si>
    <t xml:space="preserve">Cards approved</t>
  </si>
  <si>
    <t xml:space="preserve">Target tests</t>
  </si>
  <si>
    <t xml:space="preserve">Tests ready or passed</t>
  </si>
  <si>
    <t xml:space="preserve">Status</t>
  </si>
  <si>
    <t xml:space="preserve">Notes</t>
  </si>
  <si>
    <t xml:space="preserve">1. Drugs that worsen HF</t>
  </si>
  <si>
    <t xml:space="preserve">Is a new medicine harmful in heart failure?</t>
  </si>
  <si>
    <t xml:space="preserve">S01; S07</t>
  </si>
  <si>
    <t xml:space="preserve">Not started</t>
  </si>
  <si>
    <t xml:space="preserve">2. Potassium &amp; kidney</t>
  </si>
  <si>
    <t xml:space="preserve">Are potassium or kidney values unsafe for current medicines?</t>
  </si>
  <si>
    <t xml:space="preserve">S01; S09</t>
  </si>
  <si>
    <t xml:space="preserve">3. Diuretics &amp; congestion</t>
  </si>
  <si>
    <t xml:space="preserve">Does weight gain plus symptoms suggest fluid retention?</t>
  </si>
  <si>
    <t xml:space="preserve">S01; S12</t>
  </si>
  <si>
    <t xml:space="preserve">4. Core HF medicines</t>
  </si>
  <si>
    <t xml:space="preserve">Are guideline medicines present; any contraindications?</t>
  </si>
  <si>
    <t xml:space="preserve">S01; S02; S03</t>
  </si>
  <si>
    <t xml:space="preserve">5. BP &amp; heart rate</t>
  </si>
  <si>
    <t xml:space="preserve">Are low BP / heart rate with symptoms a medication issue?</t>
  </si>
  <si>
    <t xml:space="preserve">S02</t>
  </si>
  <si>
    <t xml:space="preserve">6. Comorbidity medicines</t>
  </si>
  <si>
    <t xml:space="preserve">Do diabetes, anticoagulation, CKD, pain or sleep medicines conflict with HF?</t>
  </si>
  <si>
    <t xml:space="preserve">S04; S09; S11</t>
  </si>
  <si>
    <t xml:space="preserve">7. Older adults</t>
  </si>
  <si>
    <t xml:space="preserve">Beers criteria, anticholinergic burden, fall risk</t>
  </si>
  <si>
    <t xml:space="preserve">S08</t>
  </si>
  <si>
    <t xml:space="preserve">8. Nutrition</t>
  </si>
  <si>
    <t xml:space="preserve">Sodium, fluids, potassium salt substitutes, alcohol</t>
  </si>
  <si>
    <t xml:space="preserve">S01; S13</t>
  </si>
  <si>
    <t xml:space="preserve">9. Mental health &amp; adherence</t>
  </si>
  <si>
    <t xml:space="preserve">Do mood changes explain missed doses?</t>
  </si>
  <si>
    <t xml:space="preserve">S15; S01</t>
  </si>
  <si>
    <t xml:space="preserve">10. Red flags</t>
  </si>
  <si>
    <t xml:space="preserve">Which symptoms need urgent action, bypassing analysis?</t>
  </si>
  <si>
    <t xml:space="preserve">S12; S15</t>
  </si>
  <si>
    <t xml:space="preserve">Total</t>
  </si>
  <si>
    <t xml:space="preserve">Blue numbers are targets you can edit. Approved/ready counts update automatically from the Rules, Recommendation cards and Test cases sheets.</t>
  </si>
  <si>
    <t xml:space="preserve">Source ID</t>
  </si>
  <si>
    <t xml:space="preserve">Title</t>
  </si>
  <si>
    <t xml:space="preserve">Organization</t>
  </si>
  <si>
    <t xml:space="preserve">Year / version</t>
  </si>
  <si>
    <t xml:space="preserve">Source type</t>
  </si>
  <si>
    <t xml:space="preserve">Scope</t>
  </si>
  <si>
    <t xml:space="preserve">Audience</t>
  </si>
  <si>
    <t xml:space="preserve">Link or DOI</t>
  </si>
  <si>
    <t xml:space="preserve">License status</t>
  </si>
  <si>
    <t xml:space="preserve">Full text storable</t>
  </si>
  <si>
    <t xml:space="preserve">Source status</t>
  </si>
  <si>
    <t xml:space="preserve">Date accessed</t>
  </si>
  <si>
    <t xml:space="preserve">S01</t>
  </si>
  <si>
    <t xml:space="preserve">2022 AHA/ACC/HFSA Guideline for the Management of Heart Failure</t>
  </si>
  <si>
    <t xml:space="preserve">AHA / ACC / HFSA</t>
  </si>
  <si>
    <t xml:space="preserve">2022</t>
  </si>
  <si>
    <t xml:space="preserve">Guideline</t>
  </si>
  <si>
    <t xml:space="preserve">All HF</t>
  </si>
  <si>
    <t xml:space="preserve">Clinician</t>
  </si>
  <si>
    <t xml:space="preserve">doi:10.1161/CIR.0000000000001063</t>
  </si>
  <si>
    <t xml:space="preserve">Copyrighted – permission needed</t>
  </si>
  <si>
    <t xml:space="preserve">To check</t>
  </si>
  <si>
    <t xml:space="preserve">Current</t>
  </si>
  <si>
    <t xml:space="preserve">Primary U.S. guideline. Write cards in own words.</t>
  </si>
  <si>
    <t xml:space="preserve">2024 ACC Expert Consensus Decision Pathway for Treatment of HFrEF</t>
  </si>
  <si>
    <t xml:space="preserve">ACC</t>
  </si>
  <si>
    <t xml:space="preserve">2024</t>
  </si>
  <si>
    <t xml:space="preserve">Decision pathway</t>
  </si>
  <si>
    <t xml:space="preserve">HFrEF</t>
  </si>
  <si>
    <t xml:space="preserve">Add link/DOI</t>
  </si>
  <si>
    <t xml:space="preserve">Sequencing, titration, monitoring during dose changes.</t>
  </si>
  <si>
    <t xml:space="preserve">S03</t>
  </si>
  <si>
    <t xml:space="preserve">2026 ACC Expert Consensus Decision Pathway: Management of HFpEF</t>
  </si>
  <si>
    <t xml:space="preserve">2026</t>
  </si>
  <si>
    <t xml:space="preserve">HFpEF</t>
  </si>
  <si>
    <t xml:space="preserve">Key for Margaret persona (HFpEF).</t>
  </si>
  <si>
    <t xml:space="preserve">S04</t>
  </si>
  <si>
    <t xml:space="preserve">2026 AHA/ACC/ADA/ASN Guideline: Cardiovascular-Kidney-Metabolic Syndrome</t>
  </si>
  <si>
    <t xml:space="preserve">AHA / ACC / ADA / ASN</t>
  </si>
  <si>
    <t xml:space="preserve">Kidney / diabetes</t>
  </si>
  <si>
    <t xml:space="preserve">doi:10.1161/CIR.0000000000001453</t>
  </si>
  <si>
    <t xml:space="preserve">Diabetes and CKD overlap.</t>
  </si>
  <si>
    <t xml:space="preserve">S05</t>
  </si>
  <si>
    <t xml:space="preserve">Second Universal Definition of Heart Failure</t>
  </si>
  <si>
    <t xml:space="preserve">AHA / ACC / ESC / WHF</t>
  </si>
  <si>
    <t xml:space="preserve">Consensus definition</t>
  </si>
  <si>
    <t xml:space="preserve">doi:10.1161/CIR.0000000000001455</t>
  </si>
  <si>
    <t xml:space="preserve">Terminology for the data model.</t>
  </si>
  <si>
    <t xml:space="preserve">S06</t>
  </si>
  <si>
    <t xml:space="preserve">2026 ESC Guidelines for the Management of Heart Failure</t>
  </si>
  <si>
    <t xml:space="preserve">ESC</t>
  </si>
  <si>
    <t xml:space="preserve">Secondary reference. Uses different LVEF categories than U.S.</t>
  </si>
  <si>
    <t xml:space="preserve">S07</t>
  </si>
  <si>
    <t xml:space="preserve">Drugs That May Cause or Exacerbate Heart Failure (AHA Scientific Statement, Page et al.)</t>
  </si>
  <si>
    <t xml:space="preserve">AHA</t>
  </si>
  <si>
    <t xml:space="preserve">2016</t>
  </si>
  <si>
    <t xml:space="preserve">Scientific statement</t>
  </si>
  <si>
    <t xml:space="preserve">To verify</t>
  </si>
  <si>
    <t xml:space="preserve">Core for pharmacist agent. Check for a newer update.</t>
  </si>
  <si>
    <t xml:space="preserve">AGS Beers Criteria for Potentially Inappropriate Medication Use in Older Adults</t>
  </si>
  <si>
    <t xml:space="preserve">American Geriatrics Society</t>
  </si>
  <si>
    <t xml:space="preserve">Latest edition</t>
  </si>
  <si>
    <t xml:space="preserve">Criteria</t>
  </si>
  <si>
    <t xml:space="preserve">Older adults</t>
  </si>
  <si>
    <t xml:space="preserve">Confirm latest edition year.</t>
  </si>
  <si>
    <t xml:space="preserve">S09</t>
  </si>
  <si>
    <t xml:space="preserve">FDA drug labels (Structured Product Labeling)</t>
  </si>
  <si>
    <t xml:space="preserve">NLM DailyMed / FDA</t>
  </si>
  <si>
    <t xml:space="preserve">Per drug</t>
  </si>
  <si>
    <t xml:space="preserve">Drug label</t>
  </si>
  <si>
    <t xml:space="preserve">Drug information</t>
  </si>
  <si>
    <t xml:space="preserve">https://dailymed.nlm.nih.gov</t>
  </si>
  <si>
    <t xml:space="preserve">Public domain</t>
  </si>
  <si>
    <t xml:space="preserve">Yes</t>
  </si>
  <si>
    <t xml:space="preserve">Use SPL XML, not PDF. ~30 drugs for MVP.</t>
  </si>
  <si>
    <t xml:space="preserve">S10</t>
  </si>
  <si>
    <t xml:space="preserve">RxNorm</t>
  </si>
  <si>
    <t xml:space="preserve">National Library of Medicine</t>
  </si>
  <si>
    <t xml:space="preserve">Monthly</t>
  </si>
  <si>
    <t xml:space="preserve">Terminology</t>
  </si>
  <si>
    <t xml:space="preserve">https://www.nlm.nih.gov/research/umls/rxnorm</t>
  </si>
  <si>
    <t xml:space="preserve">Free with registration</t>
  </si>
  <si>
    <t xml:space="preserve">Drug names and codes.</t>
  </si>
  <si>
    <t xml:space="preserve">S11</t>
  </si>
  <si>
    <t xml:space="preserve">Licensed drug-interaction database (Lexicomp, Medi-Span or First Databank)</t>
  </si>
  <si>
    <t xml:space="preserve">Vendor</t>
  </si>
  <si>
    <t xml:space="preserve">Drug database</t>
  </si>
  <si>
    <t xml:space="preserve">Licensed product – purchase</t>
  </si>
  <si>
    <t xml:space="preserve">No</t>
  </si>
  <si>
    <t xml:space="preserve">Replaces illustrative interaction tables.</t>
  </si>
  <si>
    <t xml:space="preserve">S12</t>
  </si>
  <si>
    <t xml:space="preserve">HFSA / AHA heart failure patient education</t>
  </si>
  <si>
    <t xml:space="preserve">HFSA / AHA</t>
  </si>
  <si>
    <t xml:space="preserve">Patient education</t>
  </si>
  <si>
    <t xml:space="preserve">Self-care</t>
  </si>
  <si>
    <t xml:space="preserve">Patient</t>
  </si>
  <si>
    <t xml:space="preserve">Plain-language explanations; self-care thresholds.</t>
  </si>
  <si>
    <t xml:space="preserve">S13</t>
  </si>
  <si>
    <t xml:space="preserve">SODIUM-HF trial (Lancet, 2022)</t>
  </si>
  <si>
    <t xml:space="preserve">Ezekowitz et al.</t>
  </si>
  <si>
    <t xml:space="preserve">Trial</t>
  </si>
  <si>
    <t xml:space="preserve">Nuance on sodium restriction.</t>
  </si>
  <si>
    <t xml:space="preserve">S14</t>
  </si>
  <si>
    <t xml:space="preserve">Kansas City Cardiomyopathy Questionnaire (KCCQ-12)</t>
  </si>
  <si>
    <t xml:space="preserve">CV Outcomes</t>
  </si>
  <si>
    <t xml:space="preserve">Questionnaire</t>
  </si>
  <si>
    <t xml:space="preserve">May require a license for commercial use.</t>
  </si>
  <si>
    <t xml:space="preserve">S16</t>
  </si>
  <si>
    <t xml:space="preserve">LOINC (lab and observation codes)</t>
  </si>
  <si>
    <t xml:space="preserve">Regenstrief Institute</t>
  </si>
  <si>
    <t xml:space="preserve">https://loinc.org</t>
  </si>
  <si>
    <t xml:space="preserve">Codes for labs, vitals and questionnaires.</t>
  </si>
  <si>
    <t xml:space="preserve">S17</t>
  </si>
  <si>
    <t xml:space="preserve">SNOMED CT (clinical terms)</t>
  </si>
  <si>
    <t xml:space="preserve">SNOMED International / NLM</t>
  </si>
  <si>
    <t xml:space="preserve">https://www.nlm.nih.gov/healthit/snomedct</t>
  </si>
  <si>
    <t xml:space="preserve">Codes for diagnoses and conditions (free in the U.S. via UMLS license).</t>
  </si>
  <si>
    <t xml:space="preserve">S15</t>
  </si>
  <si>
    <t xml:space="preserve">PHQ-2 / PHQ-9</t>
  </si>
  <si>
    <t xml:space="preserve">Pfizer (free to use)</t>
  </si>
  <si>
    <t xml:space="preserve">Depression screening; item 9 safety response.</t>
  </si>
  <si>
    <t xml:space="preserve">Element ID</t>
  </si>
  <si>
    <t xml:space="preserve">Data element</t>
  </si>
  <si>
    <t xml:space="preserve">Category</t>
  </si>
  <si>
    <t xml:space="preserve">Definition</t>
  </si>
  <si>
    <t xml:space="preserve">Data type</t>
  </si>
  <si>
    <t xml:space="preserve">Unit</t>
  </si>
  <si>
    <t xml:space="preserve">Code system</t>
  </si>
  <si>
    <t xml:space="preserve">Code (verify)</t>
  </si>
  <si>
    <t xml:space="preserve">Data source</t>
  </si>
  <si>
    <t xml:space="preserve">Frequency</t>
  </si>
  <si>
    <t xml:space="preserve">Valid for analysis (verify)</t>
  </si>
  <si>
    <t xml:space="preserve">Priority</t>
  </si>
  <si>
    <t xml:space="preserve">Required by rules</t>
  </si>
  <si>
    <t xml:space="preserve">Used by agent</t>
  </si>
  <si>
    <t xml:space="preserve">Justification (source ID)</t>
  </si>
  <si>
    <t xml:space="preserve">D001</t>
  </si>
  <si>
    <t xml:space="preserve">Heart failure diagnosis</t>
  </si>
  <si>
    <t xml:space="preserve">Profile</t>
  </si>
  <si>
    <t xml:space="preserve">Active diagnosis of heart failure</t>
  </si>
  <si>
    <t xml:space="preserve">Coded</t>
  </si>
  <si>
    <t xml:space="preserve">n/a</t>
  </si>
  <si>
    <t xml:space="preserve">SNOMED CT</t>
  </si>
  <si>
    <t xml:space="preserve">84114007</t>
  </si>
  <si>
    <t xml:space="preserve">EHR</t>
  </si>
  <si>
    <t xml:space="preserve">When it changes</t>
  </si>
  <si>
    <t xml:space="preserve">Until changed</t>
  </si>
  <si>
    <t xml:space="preserve">MVP</t>
  </si>
  <si>
    <t xml:space="preserve">R01; R04; R05; R10</t>
  </si>
  <si>
    <t xml:space="preserve">All</t>
  </si>
  <si>
    <t xml:space="preserve">D002</t>
  </si>
  <si>
    <t xml:space="preserve">LVEF value and date</t>
  </si>
  <si>
    <t xml:space="preserve">Most recent left ventricular ejection fraction with measurement date</t>
  </si>
  <si>
    <t xml:space="preserve">Number + date</t>
  </si>
  <si>
    <t xml:space="preserve">%</t>
  </si>
  <si>
    <t xml:space="preserve">LOINC</t>
  </si>
  <si>
    <t xml:space="preserve">10230-1</t>
  </si>
  <si>
    <t xml:space="preserve">EHR / scan</t>
  </si>
  <si>
    <t xml:space="preserve">12 months</t>
  </si>
  <si>
    <t xml:space="preserve">R04</t>
  </si>
  <si>
    <t xml:space="preserve">Cardiology</t>
  </si>
  <si>
    <t xml:space="preserve">S01; S05</t>
  </si>
  <si>
    <t xml:space="preserve">Drives HFrEF vs HFpEF</t>
  </si>
  <si>
    <t xml:space="preserve">D003</t>
  </si>
  <si>
    <t xml:space="preserve">HF phenotype</t>
  </si>
  <si>
    <t xml:space="preserve">HFrEF or HFpEF, derived from LVEF using U.S. definitions</t>
  </si>
  <si>
    <t xml:space="preserve">Internal</t>
  </si>
  <si>
    <t xml:space="preserve">Calculated</t>
  </si>
  <si>
    <t xml:space="preserve">When LVEF changes</t>
  </si>
  <si>
    <t xml:space="preserve">Until LVEF changes</t>
  </si>
  <si>
    <t xml:space="preserve">R02; R03; R04</t>
  </si>
  <si>
    <t xml:space="preserve">U.S. and ESC thresholds differ</t>
  </si>
  <si>
    <t xml:space="preserve">D004</t>
  </si>
  <si>
    <t xml:space="preserve">Comorbidities</t>
  </si>
  <si>
    <t xml:space="preserve">CKD, diabetes, atrial fibrillation, hypertension, depression, cognitive impairment, COPD</t>
  </si>
  <si>
    <t xml:space="preserve">Coded list</t>
  </si>
  <si>
    <t xml:space="preserve">SNOMED / ICD-10</t>
  </si>
  <si>
    <t xml:space="preserve">Per condition</t>
  </si>
  <si>
    <t xml:space="preserve">R10</t>
  </si>
  <si>
    <t xml:space="preserve">S01; S04</t>
  </si>
  <si>
    <t xml:space="preserve">D005</t>
  </si>
  <si>
    <t xml:space="preserve">Medication list</t>
  </si>
  <si>
    <t xml:space="preserve">Medications</t>
  </si>
  <si>
    <t xml:space="preserve">All active medicines incl. OTC and supplements: name, dose, frequency, start/change/stop dates, prescriber</t>
  </si>
  <si>
    <t xml:space="preserve">Every change</t>
  </si>
  <si>
    <t xml:space="preserve">Current list only</t>
  </si>
  <si>
    <t xml:space="preserve">All medication rules</t>
  </si>
  <si>
    <t xml:space="preserve">Pharmacist</t>
  </si>
  <si>
    <t xml:space="preserve">Patient must confirm</t>
  </si>
  <si>
    <t xml:space="preserve">D006</t>
  </si>
  <si>
    <t xml:space="preserve">Missed doses and reason</t>
  </si>
  <si>
    <t xml:space="preserve">Adherence</t>
  </si>
  <si>
    <t xml:space="preserve">Missed doses in past 7 days and main reason</t>
  </si>
  <si>
    <t xml:space="preserve">Number + category</t>
  </si>
  <si>
    <t xml:space="preserve">doses</t>
  </si>
  <si>
    <t xml:space="preserve">Weekly</t>
  </si>
  <si>
    <t xml:space="preserve">7 days</t>
  </si>
  <si>
    <t xml:space="preserve">Behavioral health</t>
  </si>
  <si>
    <t xml:space="preserve">Reasons: cost, side effects, forgot, diuretic timing</t>
  </si>
  <si>
    <t xml:space="preserve">D007</t>
  </si>
  <si>
    <t xml:space="preserve">Potassium</t>
  </si>
  <si>
    <t xml:space="preserve">Labs</t>
  </si>
  <si>
    <t xml:space="preserve">Serum potassium with result date</t>
  </si>
  <si>
    <t xml:space="preserve">mEq/L</t>
  </si>
  <si>
    <t xml:space="preserve">2823-3</t>
  </si>
  <si>
    <t xml:space="preserve">Each result</t>
  </si>
  <si>
    <t xml:space="preserve">90 days; 14 days after MRA/RAAS start or dose change</t>
  </si>
  <si>
    <t xml:space="preserve">R02; R07</t>
  </si>
  <si>
    <t xml:space="preserve">D008</t>
  </si>
  <si>
    <t xml:space="preserve">Sodium</t>
  </si>
  <si>
    <t xml:space="preserve">Serum sodium with result date</t>
  </si>
  <si>
    <t xml:space="preserve">2951-2</t>
  </si>
  <si>
    <t xml:space="preserve">90 days</t>
  </si>
  <si>
    <t xml:space="preserve">D009</t>
  </si>
  <si>
    <t xml:space="preserve">Creatinine / eGFR</t>
  </si>
  <si>
    <t xml:space="preserve">Serum creatinine and eGFR with result date</t>
  </si>
  <si>
    <t xml:space="preserve">mg/dL; mL/min/1.73m²</t>
  </si>
  <si>
    <t xml:space="preserve">2160-0; 98979-8</t>
  </si>
  <si>
    <t xml:space="preserve">R03</t>
  </si>
  <si>
    <t xml:space="preserve">D010</t>
  </si>
  <si>
    <t xml:space="preserve">BNP or NT-proBNP</t>
  </si>
  <si>
    <t xml:space="preserve">Natriuretic peptide with result date</t>
  </si>
  <si>
    <t xml:space="preserve">pg/mL</t>
  </si>
  <si>
    <t xml:space="preserve">30934-4; 33762-6</t>
  </si>
  <si>
    <t xml:space="preserve">D011</t>
  </si>
  <si>
    <t xml:space="preserve">Body weight</t>
  </si>
  <si>
    <t xml:space="preserve">Home monitoring</t>
  </si>
  <si>
    <t xml:space="preserve">Morning weight, daily</t>
  </si>
  <si>
    <t xml:space="preserve">kg</t>
  </si>
  <si>
    <t xml:space="preserve">29463-7</t>
  </si>
  <si>
    <t xml:space="preserve">Device / patient</t>
  </si>
  <si>
    <t xml:space="preserve">Daily</t>
  </si>
  <si>
    <t xml:space="preserve">2 days</t>
  </si>
  <si>
    <t xml:space="preserve">R08</t>
  </si>
  <si>
    <t xml:space="preserve">Most important home signal</t>
  </si>
  <si>
    <t xml:space="preserve">D012</t>
  </si>
  <si>
    <t xml:space="preserve">Blood pressure</t>
  </si>
  <si>
    <t xml:space="preserve">Systolic and diastolic home readings</t>
  </si>
  <si>
    <t xml:space="preserve">Number + time</t>
  </si>
  <si>
    <t xml:space="preserve">mmHg</t>
  </si>
  <si>
    <t xml:space="preserve">8480-6; 8462-4</t>
  </si>
  <si>
    <t xml:space="preserve">Daily or several/week</t>
  </si>
  <si>
    <t xml:space="preserve">R09</t>
  </si>
  <si>
    <t xml:space="preserve">D013</t>
  </si>
  <si>
    <t xml:space="preserve">Heart rate</t>
  </si>
  <si>
    <t xml:space="preserve">Resting heart rate</t>
  </si>
  <si>
    <t xml:space="preserve">beats/min</t>
  </si>
  <si>
    <t xml:space="preserve">8867-4</t>
  </si>
  <si>
    <t xml:space="preserve">Device</t>
  </si>
  <si>
    <t xml:space="preserve">D014</t>
  </si>
  <si>
    <t xml:space="preserve">Symptoms checklist</t>
  </si>
  <si>
    <t xml:space="preserve">Symptoms</t>
  </si>
  <si>
    <t xml:space="preserve">Breathlessness, orthopnea, swelling, dizziness, fatigue; red flags: chest pain, fainting, severe breathlessness</t>
  </si>
  <si>
    <t xml:space="preserve">Checklist</t>
  </si>
  <si>
    <t xml:space="preserve">Daily (under 1 minute)</t>
  </si>
  <si>
    <t xml:space="preserve">1 day</t>
  </si>
  <si>
    <t xml:space="preserve">R09; urgent pathway</t>
  </si>
  <si>
    <t xml:space="preserve">Red flags go to urgent pathway</t>
  </si>
  <si>
    <t xml:space="preserve">D015</t>
  </si>
  <si>
    <t xml:space="preserve">Diet risk tags</t>
  </si>
  <si>
    <t xml:space="preserve">Nutrition</t>
  </si>
  <si>
    <t xml:space="preserve">High-sodium meal, potassium salt substitute, alcohol, fluid amount if restricted, grapefruit, vitamin K</t>
  </si>
  <si>
    <t xml:space="preserve">Tags</t>
  </si>
  <si>
    <t xml:space="preserve">When relevant</t>
  </si>
  <si>
    <t xml:space="preserve">14 days</t>
  </si>
  <si>
    <t xml:space="preserve">R07</t>
  </si>
  <si>
    <t xml:space="preserve">From meal AI tagging, confirmed by patient</t>
  </si>
  <si>
    <t xml:space="preserve">D016</t>
  </si>
  <si>
    <t xml:space="preserve">Mental health</t>
  </si>
  <si>
    <t xml:space="preserve">Depression screening scores; PHQ-9 item 9 answer</t>
  </si>
  <si>
    <t xml:space="preserve">Score</t>
  </si>
  <si>
    <t xml:space="preserve">points</t>
  </si>
  <si>
    <t xml:space="preserve">55758-7; 44261-6</t>
  </si>
  <si>
    <t xml:space="preserve">30 days</t>
  </si>
  <si>
    <t xml:space="preserve">Urgent pathway (item 9)</t>
  </si>
  <si>
    <t xml:space="preserve">D017</t>
  </si>
  <si>
    <t xml:space="preserve">Hospital and ER visits, falls</t>
  </si>
  <si>
    <t xml:space="preserve">Events</t>
  </si>
  <si>
    <t xml:space="preserve">Date and reason of hospitalizations, ER visits and falls</t>
  </si>
  <si>
    <t xml:space="preserve">Event list</t>
  </si>
  <si>
    <t xml:space="preserve">EHR / patient</t>
  </si>
  <si>
    <t xml:space="preserve">When they happen</t>
  </si>
  <si>
    <t xml:space="preserve">D018</t>
  </si>
  <si>
    <t xml:space="preserve">Magnesium</t>
  </si>
  <si>
    <t xml:space="preserve">Serum magnesium (diuretics, digoxin)</t>
  </si>
  <si>
    <t xml:space="preserve">mg/dL</t>
  </si>
  <si>
    <t xml:space="preserve">19123-9</t>
  </si>
  <si>
    <t xml:space="preserve">Later</t>
  </si>
  <si>
    <t xml:space="preserve">D019</t>
  </si>
  <si>
    <t xml:space="preserve">INR</t>
  </si>
  <si>
    <t xml:space="preserve">INR if on warfarin</t>
  </si>
  <si>
    <t xml:space="preserve">ratio</t>
  </si>
  <si>
    <t xml:space="preserve">6301-6</t>
  </si>
  <si>
    <t xml:space="preserve">D020</t>
  </si>
  <si>
    <t xml:space="preserve">HbA1c</t>
  </si>
  <si>
    <t xml:space="preserve">Glycated hemoglobin if diabetic</t>
  </si>
  <si>
    <t xml:space="preserve">4548-4</t>
  </si>
  <si>
    <t xml:space="preserve">6 months</t>
  </si>
  <si>
    <t xml:space="preserve">Threshold ID</t>
  </si>
  <si>
    <t xml:space="preserve">Measure</t>
  </si>
  <si>
    <t xml:space="preserve">Usual reference range</t>
  </si>
  <si>
    <t xml:space="preserve">Target in heart failure</t>
  </si>
  <si>
    <t xml:space="preserve">Alert LOW</t>
  </si>
  <si>
    <t xml:space="preserve">Alert HIGH</t>
  </si>
  <si>
    <t xml:space="preserve">URGENT (red flag)</t>
  </si>
  <si>
    <t xml:space="preserve">Context / conditions</t>
  </si>
  <si>
    <t xml:space="preserve">Patient-specific override?</t>
  </si>
  <si>
    <t xml:space="preserve">T01</t>
  </si>
  <si>
    <t xml:space="preserve">3.5–5.0 (use the lab's own range if reported)</t>
  </si>
  <si>
    <t xml:space="preserve">Keep below 5.0 when starting/continuing MRA</t>
  </si>
  <si>
    <t xml:space="preserve">&lt; 3.5 (higher concern with digoxin or loop diuretics)</t>
  </si>
  <si>
    <t xml:space="preserve">≥ 5.5 on MRA/RAAS inhibitors (R02)</t>
  </si>
  <si>
    <t xml:space="preserve">≥ 6.0 or &lt; 3.0</t>
  </si>
  <si>
    <t xml:space="preserve">Check 1–2 weeks after starting or changing MRA/RAAS inhibitor</t>
  </si>
  <si>
    <t xml:space="preserve">T02</t>
  </si>
  <si>
    <t xml:space="preserve">135–145 (lab range)</t>
  </si>
  <si>
    <t xml:space="preserve">No specific target</t>
  </si>
  <si>
    <t xml:space="preserve">&lt; 130</t>
  </si>
  <si>
    <t xml:space="preserve">&gt; 145</t>
  </si>
  <si>
    <t xml:space="preserve">&lt; 125</t>
  </si>
  <si>
    <t xml:space="preserve">Low sodium often with diuretics; trend matters</t>
  </si>
  <si>
    <t xml:space="preserve">T03</t>
  </si>
  <si>
    <t xml:space="preserve">eGFR</t>
  </si>
  <si>
    <t xml:space="preserve">mL/min/1.73m²</t>
  </si>
  <si>
    <t xml:space="preserve">≥ 60 normal kidney function</t>
  </si>
  <si>
    <t xml:space="preserve">Track trend from patient baseline</t>
  </si>
  <si>
    <t xml:space="preserve">≤ 30 (MRA eligibility; metformin contraindicated &lt; 30)</t>
  </si>
  <si>
    <t xml:space="preserve">Drop ≥ 30% from baseline within weeks</t>
  </si>
  <si>
    <t xml:space="preserve">Some creatinine rise is expected after starting RAAS inhibitors/SGLT2i; clinician interprets</t>
  </si>
  <si>
    <t xml:space="preserve">Baseline set by clinician</t>
  </si>
  <si>
    <t xml:space="preserve">Use creatinine (D009) rise as companion check</t>
  </si>
  <si>
    <t xml:space="preserve">T04</t>
  </si>
  <si>
    <t xml:space="preserve">BNP / NT-proBNP</t>
  </si>
  <si>
    <t xml:space="preserve">Diagnostic cut-offs (ambulatory): BNP ≥ 35, NT-proBNP ≥ 125</t>
  </si>
  <si>
    <t xml:space="preserve">Lower is better; compare with patient's own baseline</t>
  </si>
  <si>
    <t xml:space="preserve">Rising vs patient baseline</t>
  </si>
  <si>
    <t xml:space="preserve">Not used alone; NT-proBNP higher with age, kidney disease; lower with obesity</t>
  </si>
  <si>
    <t xml:space="preserve">S01; S06</t>
  </si>
  <si>
    <t xml:space="preserve">T05</t>
  </si>
  <si>
    <t xml:space="preserve">Body weight change</t>
  </si>
  <si>
    <t xml:space="preserve">Stay near 'dry weight' set by clinician</t>
  </si>
  <si>
    <t xml:space="preserve">+1 kg in 1 day or +2.3 kg in 1 week (≈ 2 lb / 5 lb)</t>
  </si>
  <si>
    <t xml:space="preserve">Rapid gain with severe breathlessness</t>
  </si>
  <si>
    <t xml:space="preserve">Thresholds are common education values; care team may individualize</t>
  </si>
  <si>
    <t xml:space="preserve">Yes (dry weight, limits)</t>
  </si>
  <si>
    <t xml:space="preserve">S12; S01</t>
  </si>
  <si>
    <t xml:space="preserve">T06</t>
  </si>
  <si>
    <t xml:space="preserve">Normal &lt; 120/80</t>
  </si>
  <si>
    <t xml:space="preserve">&lt; 130/80 if hypertension (individualized); priority is tolerating HF medicines</t>
  </si>
  <si>
    <t xml:space="preserve">Systolic &lt; 90, or &lt; 100 with dizziness</t>
  </si>
  <si>
    <t xml:space="preserve">≥ 140/90 on repeated readings</t>
  </si>
  <si>
    <t xml:space="preserve">Systolic &lt; 80 with symptoms, or ≥ 180/120</t>
  </si>
  <si>
    <t xml:space="preserve">Low BP plus dizziness on several BP-lowering drugs → R09</t>
  </si>
  <si>
    <t xml:space="preserve">Yes (target set by clinician)</t>
  </si>
  <si>
    <t xml:space="preserve">S01; hypertension guideline (add to register)</t>
  </si>
  <si>
    <t xml:space="preserve">Add current AHA/ACC hypertension guideline to Source register</t>
  </si>
  <si>
    <t xml:space="preserve">T07</t>
  </si>
  <si>
    <t xml:space="preserve">60–100</t>
  </si>
  <si>
    <t xml:space="preserve">Individualized; beta-blocker lowers rate</t>
  </si>
  <si>
    <t xml:space="preserve">&lt; 50 (esp. on beta-blocker, digoxin, ivabradine)</t>
  </si>
  <si>
    <t xml:space="preserve">&gt; 100 at rest</t>
  </si>
  <si>
    <t xml:space="preserve">&lt; 40 or &gt; 120 with symptoms</t>
  </si>
  <si>
    <t xml:space="preserve">Irregular rate may suggest atrial fibrillation</t>
  </si>
  <si>
    <t xml:space="preserve">S01; S02</t>
  </si>
  <si>
    <t xml:space="preserve">T08</t>
  </si>
  <si>
    <t xml:space="preserve">PHQ-9 score</t>
  </si>
  <si>
    <t xml:space="preserve">0–4 minimal; 5–9 mild; 10–14 moderate; 15–19 moderately severe; 20–27 severe</t>
  </si>
  <si>
    <t xml:space="preserve">Lower is better</t>
  </si>
  <si>
    <t xml:space="preserve">≥ 10, or rise ≥ 5 points</t>
  </si>
  <si>
    <t xml:space="preserve">Item 9 &gt; 0 (any thoughts of self-harm)</t>
  </si>
  <si>
    <t xml:space="preserve">PHQ-2 ≥ 3 → complete PHQ-9</t>
  </si>
  <si>
    <t xml:space="preserve">Item 9 always triggers urgent pathway</t>
  </si>
  <si>
    <t xml:space="preserve">T09</t>
  </si>
  <si>
    <t xml:space="preserve">New or worse breathlessness, orthopnea, swelling, dizziness</t>
  </si>
  <si>
    <t xml:space="preserve">Chest pain, fainting, severe breathlessness at rest, confusion</t>
  </si>
  <si>
    <t xml:space="preserve">Red flags bypass analysis → urgent message</t>
  </si>
  <si>
    <t xml:space="preserve">T10</t>
  </si>
  <si>
    <t xml:space="preserve">1.7–2.2 (lab range)</t>
  </si>
  <si>
    <t xml:space="preserve">Within range (diuretics, digoxin, arrhythmia risk)</t>
  </si>
  <si>
    <t xml:space="preserve">&lt; 1.7</t>
  </si>
  <si>
    <t xml:space="preserve">&gt; 2.6</t>
  </si>
  <si>
    <t xml:space="preserve">&lt; 1.2</t>
  </si>
  <si>
    <t xml:space="preserve">Later priority</t>
  </si>
  <si>
    <t xml:space="preserve">T11</t>
  </si>
  <si>
    <t xml:space="preserve">~1.0 without anticoagulant</t>
  </si>
  <si>
    <t xml:space="preserve">2.0–3.0 for most AF patients on warfarin</t>
  </si>
  <si>
    <t xml:space="preserve">&lt; 2.0</t>
  </si>
  <si>
    <t xml:space="preserve">&gt; 3.0</t>
  </si>
  <si>
    <t xml:space="preserve">&gt; 4.5 or any bleeding</t>
  </si>
  <si>
    <t xml:space="preserve">Only if on warfarin</t>
  </si>
  <si>
    <t xml:space="preserve">T12</t>
  </si>
  <si>
    <t xml:space="preserve">&lt; 5.7</t>
  </si>
  <si>
    <t xml:space="preserve">Individualized; often &lt; 7–8% in older adults</t>
  </si>
  <si>
    <t xml:space="preserve">Above individual target</t>
  </si>
  <si>
    <t xml:space="preserve">How agents choose which threshold applies (highest priority first):</t>
  </si>
  <si>
    <t xml:space="preserve">1. Patient-specific target set by the clinician (e.g. dry weight, BP goal, INR range).</t>
  </si>
  <si>
    <t xml:space="preserve">2. Reference range reported by the lab with the result (labs differ).</t>
  </si>
  <si>
    <t xml:space="preserve">3. Default values in this sheet.</t>
  </si>
  <si>
    <t xml:space="preserve">All values are DRAFT and must be verified by the clinical lead against the listed sources before approval.</t>
  </si>
  <si>
    <t xml:space="preserve">Data dictionary guide</t>
  </si>
  <si>
    <t xml:space="preserve">A. What to enter in each column</t>
  </si>
  <si>
    <t xml:space="preserve">Column</t>
  </si>
  <si>
    <t xml:space="preserve">What to enter</t>
  </si>
  <si>
    <t xml:space="preserve">Example</t>
  </si>
  <si>
    <t xml:space="preserve">Unique ID, D + 3 digits. Never reuse an ID.</t>
  </si>
  <si>
    <t xml:space="preserve">Short clinical name.</t>
  </si>
  <si>
    <t xml:space="preserve">Profile, Medications, Adherence, Labs, Home monitoring, Symptoms, Nutrition, Mental health, Events.</t>
  </si>
  <si>
    <t xml:space="preserve">One sentence: exactly what is captured, including date/time if needed.</t>
  </si>
  <si>
    <t xml:space="preserve">Number, Number + date, Coded, Category, Checklist, Tags, Score, Event list.</t>
  </si>
  <si>
    <t xml:space="preserve">Standard unit; note conversions if devices differ.</t>
  </si>
  <si>
    <t xml:space="preserve">Code system / Code</t>
  </si>
  <si>
    <t xml:space="preserve">LOINC for labs, vitals and questionnaires; SNOMED CT or ICD-10 for conditions; RxNorm for medicines. Verify on the official site.</t>
  </si>
  <si>
    <t xml:space="preserve">LOINC 2823-3</t>
  </si>
  <si>
    <t xml:space="preserve">Where it comes from: EHR, Patient, Device, Scan, Calculated.</t>
  </si>
  <si>
    <t xml:space="preserve">How often it is expected to arrive.</t>
  </si>
  <si>
    <t xml:space="preserve">Valid for analysis</t>
  </si>
  <si>
    <t xml:space="preserve">How old a value can be and still be used. Older values are treated as missing. Clinical lead decides.</t>
  </si>
  <si>
    <t xml:space="preserve">90 days; 14 days after MRA start</t>
  </si>
  <si>
    <t xml:space="preserve">MVP = collected from day one. Later = used if available, not requested.</t>
  </si>
  <si>
    <t xml:space="preserve">Rule IDs that need this element. Empty means no rule uses it yet.</t>
  </si>
  <si>
    <t xml:space="preserve">Agents that read it.</t>
  </si>
  <si>
    <t xml:space="preserve">Justification</t>
  </si>
  <si>
    <t xml:space="preserve">Source ID from the Source register that explains why it is captured.</t>
  </si>
  <si>
    <t xml:space="preserve">Draft – verify, In review, Approved, Retired.</t>
  </si>
  <si>
    <t xml:space="preserve">B. How the agents must use the dictionary</t>
  </si>
  <si>
    <t xml:space="preserve">Rule for agents</t>
  </si>
  <si>
    <t xml:space="preserve">Instruction</t>
  </si>
  <si>
    <t xml:space="preserve">1. Only defined data</t>
  </si>
  <si>
    <t xml:space="preserve">Use only data elements listed here. Refer to them by Element ID in every finding (e.g. D007 = 5.6 mEq/L on 2026-09-30, source EHR).</t>
  </si>
  <si>
    <t xml:space="preserve">2. Only confirmed data</t>
  </si>
  <si>
    <t xml:space="preserve">Use only items the patient has confirmed and that are reconciled across sources. Ignore pending or conflicting items and point to the Review screen instead.</t>
  </si>
  <si>
    <t xml:space="preserve">3. Respect validity</t>
  </si>
  <si>
    <t xml:space="preserve">If the latest value is older than 'Valid for analysis', treat it as missing. Never use an outdated value as current.</t>
  </si>
  <si>
    <t xml:space="preserve">4. Missing is not normal</t>
  </si>
  <si>
    <t xml:space="preserve">Never assume a missing value is normal. If a rule needs it, say it is missing and suggest a question, e.g. 'When was your last potassium test?'</t>
  </si>
  <si>
    <t xml:space="preserve">5. Units and dates</t>
  </si>
  <si>
    <t xml:space="preserve">Always report value, unit and date. Convert units only using the Unit column (e.g. lb to kg).</t>
  </si>
  <si>
    <t xml:space="preserve">6. Stay in your role</t>
  </si>
  <si>
    <t xml:space="preserve">Each agent works mainly with elements where 'Used by agent' includes its role. Other elements may be read for context but not interpreted outside the agent's discipline.</t>
  </si>
  <si>
    <t xml:space="preserve">7. Priority</t>
  </si>
  <si>
    <t xml:space="preserve">MVP elements may be requested from the patient. 'Later' elements are used only if already present; never ask the patient for them.</t>
  </si>
  <si>
    <t xml:space="preserve">8. Phenotype</t>
  </si>
  <si>
    <t xml:space="preserve">Use the calculated phenotype (D003) based on U.S. definitions. Do not re-derive it.</t>
  </si>
  <si>
    <t xml:space="preserve">9. Red flags first</t>
  </si>
  <si>
    <t xml:space="preserve">Red-flag symptoms in D014 and a positive PHQ-9 item 9 in D016 trigger the urgent pathway immediately. Do not wait for analysis.</t>
  </si>
  <si>
    <t xml:space="preserve">10. No new data, no diagnosis</t>
  </si>
  <si>
    <t xml:space="preserve">Never request data that is not in this dictionary. Never diagnose or give dosing instructions; findings end with a question for the clinician.</t>
  </si>
  <si>
    <t xml:space="preserve">11. Cite</t>
  </si>
  <si>
    <t xml:space="preserve">Every finding cites the Element IDs used and the rule or recommendation card that applies.</t>
  </si>
  <si>
    <t xml:space="preserve">12. Thresholds</t>
  </si>
  <si>
    <t xml:space="preserve">Judge values with the Thresholds sheet. Order: (1) clinician's patient-specific target, (2) the lab's reported range, (3) default values. Always state which one was used.</t>
  </si>
  <si>
    <t xml:space="preserve">C. Sources needed to complete the dictionary</t>
  </si>
  <si>
    <t xml:space="preserve">Sources (IDs in Source register)</t>
  </si>
  <si>
    <t xml:space="preserve">What they provide</t>
  </si>
  <si>
    <t xml:space="preserve">Profile (diagnosis, LVEF, phenotype, NYHA, comorbidities)</t>
  </si>
  <si>
    <t xml:space="preserve">S01 2022 AHA/ACC/HFSA guideline; S05 Universal Definition 2026; S04 CKM guideline 2026</t>
  </si>
  <si>
    <t xml:space="preserve">Definitions, LVEF categories, stages, comorbidities that matter</t>
  </si>
  <si>
    <t xml:space="preserve">Medications and adherence</t>
  </si>
  <si>
    <t xml:space="preserve">S01; S02 HFrEF pathway 2024; S03 HFpEF pathway 2026; S07 drugs that worsen HF; S08 Beers; S09 FDA labels; S10 RxNorm</t>
  </si>
  <si>
    <t xml:space="preserve">Which medicines to capture, harmful drugs, older-adult risks, codes</t>
  </si>
  <si>
    <t xml:space="preserve">S01 monitoring sections; S02 labs during dose changes; S09 label monitoring; S16 LOINC</t>
  </si>
  <si>
    <t xml:space="preserve">Which labs, how often, validity windows, codes</t>
  </si>
  <si>
    <t xml:space="preserve">Home monitoring and symptoms</t>
  </si>
  <si>
    <t xml:space="preserve">S01 self-care; S12 HFSA/AHA patient education; S02 BP and heart rate</t>
  </si>
  <si>
    <t xml:space="preserve">Daily weight, BP/HR, warning symptoms, thresholds</t>
  </si>
  <si>
    <t xml:space="preserve">S01 nonpharmacological care; S13 SODIUM-HF; S09 labels (potassium)</t>
  </si>
  <si>
    <t xml:space="preserve">S15 PHQ-2/PHQ-9; S01 psychosocial care; S14 KCCQ (later)</t>
  </si>
  <si>
    <t xml:space="preserve">Screening tools, scoring, item 9 safety response</t>
  </si>
  <si>
    <t xml:space="preserve">Codes for everything</t>
  </si>
  <si>
    <t xml:space="preserve">S16 LOINC; S17 SNOMED CT; S10 RxNorm</t>
  </si>
  <si>
    <t xml:space="preserve">Standard codes for engineers</t>
  </si>
  <si>
    <t xml:space="preserve">Rule ID</t>
  </si>
  <si>
    <t xml:space="preserve">Rule name</t>
  </si>
  <si>
    <t xml:space="preserve">Drugs / classes involved</t>
  </si>
  <si>
    <t xml:space="preserve">Data needed</t>
  </si>
  <si>
    <t xml:space="preserve">Condition (logic)</t>
  </si>
  <si>
    <t xml:space="preserve">Threshold values</t>
  </si>
  <si>
    <t xml:space="preserve">Severity</t>
  </si>
  <si>
    <t xml:space="preserve">Question for the patient to ask</t>
  </si>
  <si>
    <t xml:space="preserve">Note for the clinician</t>
  </si>
  <si>
    <t xml:space="preserve">Section / page</t>
  </si>
  <si>
    <t xml:space="preserve">Agent</t>
  </si>
  <si>
    <t xml:space="preserve">Applies to phenotype</t>
  </si>
  <si>
    <t xml:space="preserve">Data sources</t>
  </si>
  <si>
    <t xml:space="preserve">Comments</t>
  </si>
  <si>
    <t xml:space="preserve">Review status</t>
  </si>
  <si>
    <t xml:space="preserve">Reviewed by</t>
  </si>
  <si>
    <t xml:space="preserve">Date reviewed</t>
  </si>
  <si>
    <t xml:space="preserve">R01</t>
  </si>
  <si>
    <t xml:space="preserve">NSAID in heart failure</t>
  </si>
  <si>
    <t xml:space="preserve">Drug–disease</t>
  </si>
  <si>
    <t xml:space="preserve">NSAIDs (ibuprofen, naproxen, diclofenac, celecoxib)</t>
  </si>
  <si>
    <t xml:space="preserve">HF diagnosis; medication list incl. OTC</t>
  </si>
  <si>
    <t xml:space="preserve">Patient with HF has an active NSAID</t>
  </si>
  <si>
    <t xml:space="preserve">Any use</t>
  </si>
  <si>
    <t xml:space="preserve">High</t>
  </si>
  <si>
    <t xml:space="preserve">I was given [drug] for pain. Is it safe with my heart failure, and is there a safer option?</t>
  </si>
  <si>
    <t xml:space="preserve">NSAIDs can cause sodium/fluid retention, worsen HF and kidney function, and blunt diuretics.</t>
  </si>
  <si>
    <t xml:space="preserve">S07; S01</t>
  </si>
  <si>
    <t xml:space="preserve">Verify</t>
  </si>
  <si>
    <t xml:space="preserve">EHR, scan, patient</t>
  </si>
  <si>
    <t xml:space="preserve">Harold/Margaret demo</t>
  </si>
  <si>
    <t xml:space="preserve">R02</t>
  </si>
  <si>
    <t xml:space="preserve">High potassium on an MRA</t>
  </si>
  <si>
    <t xml:space="preserve">Lab monitoring</t>
  </si>
  <si>
    <t xml:space="preserve">Spironolactone, eplerenone</t>
  </si>
  <si>
    <t xml:space="preserve">Potassium (latest, date); MRA active</t>
  </si>
  <si>
    <t xml:space="preserve">MRA active AND potassium ≥ threshold</t>
  </si>
  <si>
    <t xml:space="preserve">K ≥ 5.5 mEq/L (verify)</t>
  </si>
  <si>
    <t xml:space="preserve">My potassium was [value]. Should my [MRA] be adjusted?</t>
  </si>
  <si>
    <t xml:space="preserve">Guideline recommends stopping the MRA if potassium cannot be kept below the threshold.</t>
  </si>
  <si>
    <t xml:space="preserve">MRA section – verify</t>
  </si>
  <si>
    <t xml:space="preserve">Pharmacist + Cardiology</t>
  </si>
  <si>
    <t xml:space="preserve">EHR, lab scan</t>
  </si>
  <si>
    <t xml:space="preserve">Low kidney function on an MRA</t>
  </si>
  <si>
    <t xml:space="preserve">eGFR or creatinine (latest, trend); MRA active</t>
  </si>
  <si>
    <t xml:space="preserve">MRA active AND eGFR ≤ threshold</t>
  </si>
  <si>
    <t xml:space="preserve">eGFR ≤ 30 mL/min/1.73m² (verify)</t>
  </si>
  <si>
    <t xml:space="preserve">My kidney test changed. Is [MRA] still right for me?</t>
  </si>
  <si>
    <t xml:space="preserve">Check guideline eligibility thresholds for MRA use.</t>
  </si>
  <si>
    <t xml:space="preserve">Non-dihydropyridine calcium channel blocker in HFrEF</t>
  </si>
  <si>
    <t xml:space="preserve">Diltiazem, verapamil</t>
  </si>
  <si>
    <t xml:space="preserve">LVEF / phenotype; medication list</t>
  </si>
  <si>
    <t xml:space="preserve">HFrEF AND diltiazem or verapamil active</t>
  </si>
  <si>
    <t xml:space="preserve">Is [drug] appropriate with my type of heart failure?</t>
  </si>
  <si>
    <t xml:space="preserve">Negative inotropes; guideline lists as potentially harmful in HFrEF.</t>
  </si>
  <si>
    <t xml:space="preserve">EHR, scan</t>
  </si>
  <si>
    <t xml:space="preserve">R05</t>
  </si>
  <si>
    <t xml:space="preserve">Thiazolidinedione in heart failure</t>
  </si>
  <si>
    <t xml:space="preserve">Pioglitazone, rosiglitazone</t>
  </si>
  <si>
    <t xml:space="preserve">HF diagnosis; medication list</t>
  </si>
  <si>
    <t xml:space="preserve">HF AND thiazolidinedione active</t>
  </si>
  <si>
    <t xml:space="preserve">Is [drug] safe for my heart failure?</t>
  </si>
  <si>
    <t xml:space="preserve">Fluid retention and HF worsening.</t>
  </si>
  <si>
    <t xml:space="preserve">R06</t>
  </si>
  <si>
    <t xml:space="preserve">ARNI with ACE inhibitor</t>
  </si>
  <si>
    <t xml:space="preserve">Drug–drug</t>
  </si>
  <si>
    <t xml:space="preserve">Sacubitril/valsartan + any ACE inhibitor</t>
  </si>
  <si>
    <t xml:space="preserve">Medication list with start/stop dates</t>
  </si>
  <si>
    <t xml:space="preserve">Both active, or ACE inhibitor stopped &lt; 36 h before ARNI start</t>
  </si>
  <si>
    <t xml:space="preserve">36-hour washout</t>
  </si>
  <si>
    <t xml:space="preserve">I see both [ARNI] and [ACE inhibitor] on my list. Should I be taking both?</t>
  </si>
  <si>
    <t xml:space="preserve">Contraindicated combination (angioedema risk) per FDA label.</t>
  </si>
  <si>
    <t xml:space="preserve">Sacubitril/valsartan label – Contraindications</t>
  </si>
  <si>
    <t xml:space="preserve">Potassium salt substitute with RAAS inhibitor or MRA</t>
  </si>
  <si>
    <t xml:space="preserve">Drug–food</t>
  </si>
  <si>
    <t xml:space="preserve">ACE inhibitor, ARB, ARNI, MRA</t>
  </si>
  <si>
    <t xml:space="preserve">Diet log tag: potassium salt substitute; medication list; potassium</t>
  </si>
  <si>
    <t xml:space="preserve">RAAS inhibitor or MRA active AND salt substitute logged</t>
  </si>
  <si>
    <t xml:space="preserve">Any use (higher severity if MRA or K rising)</t>
  </si>
  <si>
    <t xml:space="preserve">Moderate</t>
  </si>
  <si>
    <t xml:space="preserve">I use a salt substitute. Is it safe with my heart medicines?</t>
  </si>
  <si>
    <t xml:space="preserve">Most salt substitutes contain potassium chloride.</t>
  </si>
  <si>
    <t xml:space="preserve">Labels – potassium warnings</t>
  </si>
  <si>
    <t xml:space="preserve">Pharmacist + Nutrition</t>
  </si>
  <si>
    <t xml:space="preserve">Margaret HF demo</t>
  </si>
  <si>
    <t xml:space="preserve">Rapid weight gain</t>
  </si>
  <si>
    <t xml:space="preserve">Diuretics (context)</t>
  </si>
  <si>
    <t xml:space="preserve">Daily weight</t>
  </si>
  <si>
    <t xml:space="preserve">Weight increase over 1 day or 7 days above threshold</t>
  </si>
  <si>
    <t xml:space="preserve">≥ 2 lb (~1 kg) in 1 day or ≥ 5 lb (~2.3 kg) in 1 week (verify; clinician may individualize)</t>
  </si>
  <si>
    <t xml:space="preserve">My weight went up [amount] in [days]. Should I contact my care team?</t>
  </si>
  <si>
    <t xml:space="preserve">Possible fluid retention; review diuretic plan.</t>
  </si>
  <si>
    <t xml:space="preserve">Self-care education – verify</t>
  </si>
  <si>
    <t xml:space="preserve">Scale, patient</t>
  </si>
  <si>
    <t xml:space="preserve">Low blood pressure with symptoms on several BP-lowering drugs</t>
  </si>
  <si>
    <t xml:space="preserve">Beta-blockers, ACEi/ARB/ARNI, MRA, diuretics, SGLT2i</t>
  </si>
  <si>
    <t xml:space="preserve">Home BP; dizziness/falls; medication list</t>
  </si>
  <si>
    <t xml:space="preserve">≥ 2 BP-lowering drugs AND low systolic readings AND dizziness</t>
  </si>
  <si>
    <t xml:space="preserve">Systolic &lt; 90 mmHg on ≥ 2 readings (verify)</t>
  </si>
  <si>
    <t xml:space="preserve">I feel dizzy and my blood pressure is low. Should my medicines be reviewed?</t>
  </si>
  <si>
    <t xml:space="preserve">Consider timing and dosing; review in context of HF therapy priorities.</t>
  </si>
  <si>
    <t xml:space="preserve">BP cuff, patient</t>
  </si>
  <si>
    <t xml:space="preserve">DPP-4 inhibitor linked to HF hospitalization</t>
  </si>
  <si>
    <t xml:space="preserve">Saxagliptin, alogliptin</t>
  </si>
  <si>
    <t xml:space="preserve">HF AND saxagliptin or alogliptin active</t>
  </si>
  <si>
    <t xml:space="preserve">Is [drug] the best diabetes medicine for someone with heart failure?</t>
  </si>
  <si>
    <t xml:space="preserve">Associated with increased HF hospitalization in trials.</t>
  </si>
  <si>
    <t xml:space="preserve">R11</t>
  </si>
  <si>
    <t xml:space="preserve">Low potassium on diuretic or digoxin</t>
  </si>
  <si>
    <t xml:space="preserve">Loop/thiazide diuretics, digoxin</t>
  </si>
  <si>
    <t xml:space="preserve">D007 potassium; D005 medications</t>
  </si>
  <si>
    <t xml:space="preserve">Potassium below alert LOW (T01)</t>
  </si>
  <si>
    <t xml:space="preserve">T01: &lt; 3.5 mEq/L (urgent &lt; 3.0)</t>
  </si>
  <si>
    <t xml:space="preserve">My potassium is low. Do my medicines or supplements need review?</t>
  </si>
  <si>
    <t xml:space="preserve">Higher arrhythmia risk, especially with digoxin.</t>
  </si>
  <si>
    <t xml:space="preserve">High if on digoxin</t>
  </si>
  <si>
    <t xml:space="preserve">R12</t>
  </si>
  <si>
    <t xml:space="preserve">Low sodium</t>
  </si>
  <si>
    <t xml:space="preserve">D008 sodium</t>
  </si>
  <si>
    <t xml:space="preserve">Sodium below alert LOW (T02)</t>
  </si>
  <si>
    <t xml:space="preserve">T02: &lt; 130 mEq/L (urgent &lt; 125)</t>
  </si>
  <si>
    <t xml:space="preserve">My sodium was low. Should my care team review it?</t>
  </si>
  <si>
    <t xml:space="preserve">Often diuretic-related; trend matters.</t>
  </si>
  <si>
    <t xml:space="preserve">Urgent if &lt; 125</t>
  </si>
  <si>
    <t xml:space="preserve">R13</t>
  </si>
  <si>
    <t xml:space="preserve">Kidney function falling from baseline</t>
  </si>
  <si>
    <t xml:space="preserve">RAAS inhibitors, ARNI, MRA, SGLT2i, diuretics</t>
  </si>
  <si>
    <t xml:space="preserve">D009 eGFR/creatinine trend</t>
  </si>
  <si>
    <t xml:space="preserve">eGFR drop from patient baseline above threshold (T03)</t>
  </si>
  <si>
    <t xml:space="preserve">T03: drop ≥ 30% from baseline (verify)</t>
  </si>
  <si>
    <t xml:space="preserve">My kidney test dropped. Do my medicines need review?</t>
  </si>
  <si>
    <t xml:space="preserve">Some rise in creatinine is expected after starting RAAS/SGLT2i; clinician interprets.</t>
  </si>
  <si>
    <t xml:space="preserve">R14</t>
  </si>
  <si>
    <t xml:space="preserve">Metformin with severely reduced kidney function</t>
  </si>
  <si>
    <t xml:space="preserve">Metformin</t>
  </si>
  <si>
    <t xml:space="preserve">D009 eGFR; D005 medications</t>
  </si>
  <si>
    <t xml:space="preserve">Metformin active AND eGFR &lt; 30</t>
  </si>
  <si>
    <t xml:space="preserve">eGFR &lt; 30 (FDA label; verify)</t>
  </si>
  <si>
    <t xml:space="preserve">My kidney test changed. Is metformin still safe for me?</t>
  </si>
  <si>
    <t xml:space="preserve">Contraindicated below the label threshold.</t>
  </si>
  <si>
    <t xml:space="preserve">Metformin label – Contraindications</t>
  </si>
  <si>
    <t xml:space="preserve">R15</t>
  </si>
  <si>
    <t xml:space="preserve">Natriuretic peptide rising</t>
  </si>
  <si>
    <t xml:space="preserve">D010 BNP/NT-proBNP trend</t>
  </si>
  <si>
    <t xml:space="preserve">Value rising compared with patient baseline (T04)</t>
  </si>
  <si>
    <t xml:space="preserve">T04: rise vs baseline (define % with clinician)</t>
  </si>
  <si>
    <t xml:space="preserve">My BNP went up. What does that mean for my treatment?</t>
  </si>
  <si>
    <t xml:space="preserve">Interpret with symptoms, weight, kidney function.</t>
  </si>
  <si>
    <t xml:space="preserve">Not used alone</t>
  </si>
  <si>
    <t xml:space="preserve">R16</t>
  </si>
  <si>
    <t xml:space="preserve">Repeated high blood pressure</t>
  </si>
  <si>
    <t xml:space="preserve">BP-lowering medicines (context)</t>
  </si>
  <si>
    <t xml:space="preserve">D012 blood pressure</t>
  </si>
  <si>
    <t xml:space="preserve">Repeated readings above alert HIGH (T06)</t>
  </si>
  <si>
    <t xml:space="preserve">T06: ≥ 140/90 on repeated readings (patient target overrides)</t>
  </si>
  <si>
    <t xml:space="preserve">Low</t>
  </si>
  <si>
    <t xml:space="preserve">My home blood pressure is often high. Should my treatment be reviewed?</t>
  </si>
  <si>
    <t xml:space="preserve">Check adherence and technique; individualize target.</t>
  </si>
  <si>
    <t xml:space="preserve">S01; hypertension guideline</t>
  </si>
  <si>
    <t xml:space="preserve">Urgent if ≥ 180/120 (see R21)</t>
  </si>
  <si>
    <t xml:space="preserve">R17</t>
  </si>
  <si>
    <t xml:space="preserve">Slow resting heart rate on rate-lowering drugs</t>
  </si>
  <si>
    <t xml:space="preserve">Beta-blockers, digoxin, ivabradine, diltiazem, verapamil, amiodarone</t>
  </si>
  <si>
    <t xml:space="preserve">D013 heart rate; D014 dizziness/fatigue</t>
  </si>
  <si>
    <t xml:space="preserve">Rate-lowering drug active AND resting HR below alert LOW (T07)</t>
  </si>
  <si>
    <t xml:space="preserve">T07: &lt; 50 bpm (urgent &lt; 40 with symptoms)</t>
  </si>
  <si>
    <t xml:space="preserve">My heart rate is often below 50. Should my medicines be checked?</t>
  </si>
  <si>
    <t xml:space="preserve">Consider dose and drug combinations.</t>
  </si>
  <si>
    <t xml:space="preserve">Cardiology + Pharmacist</t>
  </si>
  <si>
    <t xml:space="preserve">R18</t>
  </si>
  <si>
    <t xml:space="preserve">Fast or irregular resting heart rate</t>
  </si>
  <si>
    <t xml:space="preserve">D013 heart rate</t>
  </si>
  <si>
    <t xml:space="preserve">Resting HR above alert HIGH (T07) or device reports irregular rhythm</t>
  </si>
  <si>
    <t xml:space="preserve">T07: &gt; 100 bpm at rest</t>
  </si>
  <si>
    <t xml:space="preserve">My resting heart rate is high or irregular. Should I contact my care team?</t>
  </si>
  <si>
    <t xml:space="preserve">Possible atrial fibrillation or decompensation.</t>
  </si>
  <si>
    <t xml:space="preserve">R19</t>
  </si>
  <si>
    <t xml:space="preserve">Depression screening positive or worsening</t>
  </si>
  <si>
    <t xml:space="preserve">Antidepressants, psychotropics (context)</t>
  </si>
  <si>
    <t xml:space="preserve">D016 PHQ-2/PHQ-9; D006 missed doses</t>
  </si>
  <si>
    <t xml:space="preserve">PHQ-9 ≥ 10, or rise ≥ 5 points, or PHQ-2 ≥ 3 without follow-up</t>
  </si>
  <si>
    <t xml:space="preserve">My mood has been low. Could this be affecting my treatment, and what support is available?</t>
  </si>
  <si>
    <t xml:space="preserve">Depression lowers adherence and worsens HF outcomes.</t>
  </si>
  <si>
    <t xml:space="preserve">R20</t>
  </si>
  <si>
    <t xml:space="preserve">Missed doses</t>
  </si>
  <si>
    <t xml:space="preserve">All HF medicines</t>
  </si>
  <si>
    <t xml:space="preserve">D006 missed doses and reason</t>
  </si>
  <si>
    <t xml:space="preserve">≥ 2 missed doses of HF medicines in 7 days (verify)</t>
  </si>
  <si>
    <t xml:space="preserve">Define with clinician</t>
  </si>
  <si>
    <t xml:space="preserve">I've missed some doses because of [reason]. Can we find a plan that works for me?</t>
  </si>
  <si>
    <t xml:space="preserve">Reason guides solution (cost, side effects, diuretic timing).</t>
  </si>
  <si>
    <t xml:space="preserve">Behavioral health + Pharmacist</t>
  </si>
  <si>
    <t xml:space="preserve">R21</t>
  </si>
  <si>
    <t xml:space="preserve">Red-flag symptoms or readings</t>
  </si>
  <si>
    <t xml:space="preserve">Symptom</t>
  </si>
  <si>
    <t xml:space="preserve">D014 symptoms; D012 BP; D013 HR</t>
  </si>
  <si>
    <t xml:space="preserve">Chest pain, fainting, severe breathlessness at rest, confusion; or urgent BP/HR values (T06, T07)</t>
  </si>
  <si>
    <t xml:space="preserve">T09; T06 urgent; T07 urgent</t>
  </si>
  <si>
    <t xml:space="preserve">Urgent</t>
  </si>
  <si>
    <t xml:space="preserve">Immediate message: call 911 for emergencies or contact your care team now.</t>
  </si>
  <si>
    <t xml:space="preserve">Bypasses analysis; urgent pathway.</t>
  </si>
  <si>
    <t xml:space="preserve">Patient, device</t>
  </si>
  <si>
    <t xml:space="preserve">Never wait for agents</t>
  </si>
  <si>
    <t xml:space="preserve">R22</t>
  </si>
  <si>
    <t xml:space="preserve">Thoughts of self-harm (PHQ-9 item 9)</t>
  </si>
  <si>
    <t xml:space="preserve">D016 PHQ-9 item 9</t>
  </si>
  <si>
    <t xml:space="preserve">Item 9 answered above 'Not at all'</t>
  </si>
  <si>
    <t xml:space="preserve">T08: item 9 &gt; 0</t>
  </si>
  <si>
    <t xml:space="preserve">Immediate supportive message with 988 Suicide &amp; Crisis Lifeline and 911; encourage contacting clinician.</t>
  </si>
  <si>
    <t xml:space="preserve">Card ID</t>
  </si>
  <si>
    <t xml:space="preserve">Topic</t>
  </si>
  <si>
    <t xml:space="preserve">Recommendation (own words)</t>
  </si>
  <si>
    <t xml:space="preserve">Class of recommendation</t>
  </si>
  <si>
    <t xml:space="preserve">Level of evidence</t>
  </si>
  <si>
    <t xml:space="preserve">Population / phenotype</t>
  </si>
  <si>
    <t xml:space="preserve">Drug / class tags</t>
  </si>
  <si>
    <t xml:space="preserve">Lab / data tags</t>
  </si>
  <si>
    <t xml:space="preserve">Patient-friendly version</t>
  </si>
  <si>
    <t xml:space="preserve">Related rule IDs</t>
  </si>
  <si>
    <t xml:space="preserve">C01</t>
  </si>
  <si>
    <t xml:space="preserve">MRA use and monitoring</t>
  </si>
  <si>
    <t xml:space="preserve">In HFrEF, mineralocorticoid receptor antagonists are recommended for eligible patients (adequate kidney function and potassium). Potassium and kidney function should be checked when starting and regularly afterwards.</t>
  </si>
  <si>
    <t xml:space="preserve">1 (verify)</t>
  </si>
  <si>
    <t xml:space="preserve">A (verify)</t>
  </si>
  <si>
    <t xml:space="preserve">MRA; spironolactone; eplerenone</t>
  </si>
  <si>
    <t xml:space="preserve">Potassium; eGFR; creatinine</t>
  </si>
  <si>
    <t xml:space="preserve">This medicine helps your heart work better, but it can raise potassium. Regular blood tests keep it safe.</t>
  </si>
  <si>
    <t xml:space="preserve">MRA section</t>
  </si>
  <si>
    <t xml:space="preserve">R02; R03</t>
  </si>
  <si>
    <t xml:space="preserve">C02</t>
  </si>
  <si>
    <t xml:space="preserve">Avoid NSAIDs</t>
  </si>
  <si>
    <t xml:space="preserve">Drugs that cause fluid retention or worsen heart function, such as NSAIDs, should be avoided in patients with heart failure when possible.</t>
  </si>
  <si>
    <t xml:space="preserve">NSAIDs</t>
  </si>
  <si>
    <t xml:space="preserve">Symptoms; weight; creatinine</t>
  </si>
  <si>
    <t xml:space="preserve">Common pain medicines like ibuprofen and naproxen can make heart failure worse. Ask your doctor or pharmacist about safer options.</t>
  </si>
  <si>
    <t xml:space="preserve">C03</t>
  </si>
  <si>
    <t xml:space="preserve">Non-dihydropyridine CCBs in HFrEF</t>
  </si>
  <si>
    <t xml:space="preserve">Diltiazem and verapamil can weaken heart contraction and are considered potentially harmful in HFrEF.</t>
  </si>
  <si>
    <t xml:space="preserve">Diltiazem; verapamil</t>
  </si>
  <si>
    <t xml:space="preserve">LVEF</t>
  </si>
  <si>
    <t xml:space="preserve">Some blood pressure and heart rhythm medicines are not recommended for your type of heart failure. Your doctor can confirm if yours is appropriate.</t>
  </si>
  <si>
    <t xml:space="preserve">C04</t>
  </si>
  <si>
    <t xml:space="preserve">Daily weight monitoring</t>
  </si>
  <si>
    <t xml:space="preserve">Patients should weigh themselves daily and know when weight gain should prompt contact with their care team, as part of heart failure self-care.</t>
  </si>
  <si>
    <t xml:space="preserve">Diuretics</t>
  </si>
  <si>
    <t xml:space="preserve">Daily weight; swelling; breathlessness</t>
  </si>
  <si>
    <t xml:space="preserve">Weigh yourself every morning. Fast weight gain can mean fluid build-up, even before you feel worse.</t>
  </si>
  <si>
    <t xml:space="preserve">Self-care section</t>
  </si>
  <si>
    <t xml:space="preserve">C05</t>
  </si>
  <si>
    <t xml:space="preserve">Sodium intake</t>
  </si>
  <si>
    <t xml:space="preserve">Avoiding excessive sodium is reasonable in heart failure; trial evidence (SODIUM-HF) did not show fewer clinical events with stricter restriction, so messaging should avoid extreme limits.</t>
  </si>
  <si>
    <t xml:space="preserve">2a (verify)</t>
  </si>
  <si>
    <t xml:space="preserve">Diet log: high-sodium meals</t>
  </si>
  <si>
    <t xml:space="preserve">Try to avoid very salty foods. Your care team can tell you what level is right for you.</t>
  </si>
  <si>
    <t xml:space="preserve">Nonpharmacological interventions</t>
  </si>
  <si>
    <t xml:space="preserve">C06</t>
  </si>
  <si>
    <t xml:space="preserve">SGLT2 inhibitors across the EF spectrum</t>
  </si>
  <si>
    <t xml:space="preserve">SGLT2 inhibitors reduce heart failure hospitalization and are recommended in HFrEF and reasonable in HFpEF per current U.S. documents; check updates in the 2026 HFpEF pathway.</t>
  </si>
  <si>
    <t xml:space="preserve">HFrEF; HFpEF</t>
  </si>
  <si>
    <t xml:space="preserve">SGLT2i; dapagliflozin; empagliflozin</t>
  </si>
  <si>
    <t xml:space="preserve">eGFR; glucose; genital infection symptoms</t>
  </si>
  <si>
    <t xml:space="preserve">This medicine can lower the chance of being hospitalized for heart failure, whether or not you have diabetes.</t>
  </si>
  <si>
    <t xml:space="preserve">Test ID</t>
  </si>
  <si>
    <t xml:space="preserve">Scenario (synthetic patient)</t>
  </si>
  <si>
    <t xml:space="preserve">Input data</t>
  </si>
  <si>
    <t xml:space="preserve">Expected rule IDs</t>
  </si>
  <si>
    <t xml:space="preserve">Expected severity</t>
  </si>
  <si>
    <t xml:space="preserve">Expected question / output</t>
  </si>
  <si>
    <t xml:space="preserve">Must NOT say</t>
  </si>
  <si>
    <t xml:space="preserve">Last result</t>
  </si>
  <si>
    <t xml:space="preserve">TC01</t>
  </si>
  <si>
    <t xml:space="preserve">Harold, 68, HF on warfarin and aspirin; urgent care prescribes naproxen</t>
  </si>
  <si>
    <t xml:space="preserve">Naproxen confirmed from scan; HF diagnosis; warfarin; aspirin</t>
  </si>
  <si>
    <t xml:space="preserve">Question about naproxen safety with heart failure and blood thinners; safer pain option</t>
  </si>
  <si>
    <t xml:space="preserve">'Stop taking naproxen'</t>
  </si>
  <si>
    <t xml:space="preserve">Draft</t>
  </si>
  <si>
    <t xml:space="preserve">TC02</t>
  </si>
  <si>
    <t xml:space="preserve">Margaret, 72, HFpEF on spironolactone; new potassium 5.6</t>
  </si>
  <si>
    <t xml:space="preserve">Potassium 5.6 mEq/L; spironolactone active</t>
  </si>
  <si>
    <t xml:space="preserve">Question whether spironolactone should be adjusted given potassium</t>
  </si>
  <si>
    <t xml:space="preserve">Any dose change instruction</t>
  </si>
  <si>
    <t xml:space="preserve">Check R02 applies to HFpEF too</t>
  </si>
  <si>
    <t xml:space="preserve">TC03</t>
  </si>
  <si>
    <t xml:space="preserve">Margaret uses a potassium salt substitute while on lisinopril and spironolactone</t>
  </si>
  <si>
    <t xml:space="preserve">Diet tag: potassium salt substitute; lisinopril; spironolactone</t>
  </si>
  <si>
    <t xml:space="preserve">Question about salt substitute with her heart medicines</t>
  </si>
  <si>
    <t xml:space="preserve">'Your potassium is dangerous'</t>
  </si>
  <si>
    <t xml:space="preserve">TC04</t>
  </si>
  <si>
    <t xml:space="preserve">Margaret's weight rises 2.5 kg over 5 days with more breathlessness</t>
  </si>
  <si>
    <t xml:space="preserve">Daily weights; symptom: breathlessness</t>
  </si>
  <si>
    <t xml:space="preserve">Question whether to contact care team about weight gain</t>
  </si>
  <si>
    <t xml:space="preserve">'Take an extra diuretic dose'</t>
  </si>
  <si>
    <t xml:space="preserve">TC05</t>
  </si>
  <si>
    <t xml:space="preserve">NEGATIVE TEST: HFpEF patient on diltiazem for atrial fibrillation</t>
  </si>
  <si>
    <t xml:space="preserve">LVEF 60%; diltiazem active</t>
  </si>
  <si>
    <t xml:space="preserve">None (R04 is HFrEF only)</t>
  </si>
  <si>
    <t xml:space="preserve">None</t>
  </si>
  <si>
    <t xml:space="preserve">No high-severity flag for diltiazem</t>
  </si>
  <si>
    <t xml:space="preserve">Flag diltiazem as harmful</t>
  </si>
  <si>
    <t xml:space="preserve">Confirms phenotype logic works</t>
  </si>
  <si>
    <t xml:space="preserve">TC06</t>
  </si>
  <si>
    <t xml:space="preserve">Patient answers PHQ-9 item 9 above 'Not at all'</t>
  </si>
  <si>
    <t xml:space="preserve">PHQ-9 item 9 = 1</t>
  </si>
  <si>
    <t xml:space="preserve">Urgent pathway</t>
  </si>
  <si>
    <t xml:space="preserve">Immediate supportive message with 988 and 911; encourage contacting clinician</t>
  </si>
  <si>
    <t xml:space="preserve">Waiting for agent analysis</t>
  </si>
  <si>
    <t xml:space="preserve">Rule category</t>
  </si>
  <si>
    <t xml:space="preserve">Domain status</t>
  </si>
  <si>
    <t xml:space="preserve">Test status</t>
  </si>
  <si>
    <t xml:space="preserve">Superseded</t>
  </si>
  <si>
    <t xml:space="preserve">In progress</t>
  </si>
  <si>
    <t xml:space="preserve">Ready</t>
  </si>
  <si>
    <t xml:space="preserve">Both</t>
  </si>
  <si>
    <t xml:space="preserve">Passed</t>
  </si>
  <si>
    <t xml:space="preserve">Done</t>
  </si>
  <si>
    <t xml:space="preserve">Scan</t>
  </si>
  <si>
    <t xml:space="preserve">Failed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</si>
</sst>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E5C5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E5C5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B6472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0E5C5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E5C56"/>
        <bgColor rgb="FF008080"/>
      </patternFill>
    </fill>
    <fill>
      <patternFill patternType="solid">
        <fgColor rgb="FFFFF7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1C2"/>
      </left>
      <right style="thin">
        <color rgb="FFD9D1C2"/>
      </right>
      <top style="thin">
        <color rgb="FFD9D1C2"/>
      </top>
      <bottom style="thin">
        <color rgb="FFD9D1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E5C56"/>
          <bgColor rgb="FF000000"/>
        </patternFill>
      </fill>
    </dxf>
    <dxf>
      <fill>
        <patternFill patternType="solid">
          <fgColor rgb="FFFFF7E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5C56"/>
      <rgbColor rgb="FFD9D1C2"/>
      <rgbColor rgb="FF808080"/>
      <rgbColor rgb="FF9999FF"/>
      <rgbColor rgb="FF993366"/>
      <rgbColor rgb="FFFFF7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95"/>
    <col collapsed="false" customWidth="true" hidden="false" outlineLevel="0" max="5" min="3" style="1" width="14"/>
  </cols>
  <sheetData>
    <row r="1" customFormat="false" ht="17.25" hidden="false" customHeight="true" outlineLevel="0" collapsed="false">
      <c r="A1" s="2" t="s">
        <v>0</v>
      </c>
    </row>
    <row r="2" customFormat="false" ht="23.25" hidden="false" customHeight="true" outlineLevel="0" collapsed="false">
      <c r="A2" s="3" t="s">
        <v>1</v>
      </c>
      <c r="B2" s="4" t="s">
        <v>2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5" t="s">
        <v>3</v>
      </c>
    </row>
    <row r="5" customFormat="false" ht="23.25" hidden="false" customHeight="true" outlineLevel="0" collapsed="false">
      <c r="A5" s="3" t="s">
        <v>4</v>
      </c>
      <c r="B5" s="4" t="s">
        <v>5</v>
      </c>
    </row>
    <row r="6" customFormat="false" ht="23.25" hidden="false" customHeight="true" outlineLevel="0" collapsed="false">
      <c r="A6" s="3" t="s">
        <v>6</v>
      </c>
      <c r="B6" s="4" t="s">
        <v>7</v>
      </c>
    </row>
    <row r="7" customFormat="false" ht="23.25" hidden="false" customHeight="true" outlineLevel="0" collapsed="false">
      <c r="A7" s="3" t="s">
        <v>8</v>
      </c>
      <c r="B7" s="4" t="s">
        <v>9</v>
      </c>
    </row>
    <row r="8" customFormat="false" ht="15" hidden="false" customHeight="true" outlineLevel="0" collapsed="false">
      <c r="A8" s="3" t="s">
        <v>10</v>
      </c>
      <c r="B8" s="4" t="s">
        <v>11</v>
      </c>
    </row>
    <row r="9" customFormat="false" ht="15" hidden="false" customHeight="true" outlineLevel="0" collapsed="false">
      <c r="A9" s="6" t="s">
        <v>12</v>
      </c>
      <c r="B9" s="4" t="s">
        <v>13</v>
      </c>
    </row>
    <row r="10" customFormat="false" ht="23.25" hidden="false" customHeight="true" outlineLevel="0" collapsed="false">
      <c r="A10" s="3" t="s">
        <v>14</v>
      </c>
      <c r="B10" s="4" t="s">
        <v>15</v>
      </c>
    </row>
    <row r="11" customFormat="false" ht="15" hidden="false" customHeight="true" outlineLevel="0" collapsed="false">
      <c r="A11" s="3" t="s">
        <v>16</v>
      </c>
      <c r="B11" s="4" t="s">
        <v>17</v>
      </c>
    </row>
    <row r="12" customFormat="false" ht="15" hidden="false" customHeight="true" outlineLevel="0" collapsed="false">
      <c r="A12" s="3" t="s">
        <v>18</v>
      </c>
      <c r="B12" s="4" t="s">
        <v>19</v>
      </c>
    </row>
    <row r="13" customFormat="false" ht="15" hidden="false" customHeight="true" outlineLevel="0" collapsed="false">
      <c r="A13" s="3" t="s">
        <v>20</v>
      </c>
      <c r="B13" s="4" t="s">
        <v>21</v>
      </c>
    </row>
    <row r="14" customFormat="false" ht="15" hidden="false" customHeight="true" outlineLevel="0" collapsed="false">
      <c r="A14" s="3"/>
    </row>
    <row r="15" customFormat="false" ht="15" hidden="false" customHeight="true" outlineLevel="0" collapsed="false">
      <c r="A15" s="5" t="s">
        <v>22</v>
      </c>
    </row>
    <row r="16" customFormat="false" ht="15" hidden="false" customHeight="true" outlineLevel="0" collapsed="false">
      <c r="A16" s="3" t="s">
        <v>23</v>
      </c>
      <c r="B16" s="4" t="s">
        <v>24</v>
      </c>
    </row>
    <row r="17" customFormat="false" ht="15" hidden="false" customHeight="true" outlineLevel="0" collapsed="false">
      <c r="A17" s="3" t="s">
        <v>25</v>
      </c>
      <c r="B17" s="4" t="s">
        <v>26</v>
      </c>
    </row>
    <row r="18" customFormat="false" ht="15" hidden="false" customHeight="true" outlineLevel="0" collapsed="false">
      <c r="A18" s="3" t="s">
        <v>27</v>
      </c>
      <c r="B18" s="4" t="s">
        <v>28</v>
      </c>
    </row>
    <row r="19" customFormat="false" ht="15" hidden="false" customHeight="true" outlineLevel="0" collapsed="false">
      <c r="A19" s="3" t="s">
        <v>29</v>
      </c>
      <c r="B19" s="4" t="s">
        <v>30</v>
      </c>
    </row>
    <row r="20" customFormat="false" ht="15" hidden="false" customHeight="true" outlineLevel="0" collapsed="false">
      <c r="A20" s="3" t="s">
        <v>31</v>
      </c>
      <c r="B20" s="4" t="s">
        <v>32</v>
      </c>
    </row>
    <row r="21" customFormat="false" ht="15" hidden="false" customHeight="true" outlineLevel="0" collapsed="false">
      <c r="A21" s="3"/>
    </row>
    <row r="22" customFormat="false" ht="23.25" hidden="false" customHeight="true" outlineLevel="0" collapsed="false">
      <c r="A22" s="5" t="s">
        <v>33</v>
      </c>
    </row>
    <row r="23" customFormat="false" ht="15" hidden="false" customHeight="true" outlineLevel="0" collapsed="false">
      <c r="A23" s="3" t="s">
        <v>34</v>
      </c>
      <c r="B23" s="4" t="s">
        <v>35</v>
      </c>
    </row>
    <row r="24" customFormat="false" ht="15" hidden="false" customHeight="true" outlineLevel="0" collapsed="false">
      <c r="A24" s="3" t="s">
        <v>36</v>
      </c>
      <c r="B24" s="4" t="s">
        <v>37</v>
      </c>
    </row>
    <row r="25" customFormat="false" ht="15" hidden="false" customHeight="true" outlineLevel="0" collapsed="false">
      <c r="A25" s="3"/>
    </row>
    <row r="26" customFormat="false" ht="15" hidden="false" customHeight="true" outlineLevel="0" collapsed="false">
      <c r="A26" s="5" t="s">
        <v>38</v>
      </c>
    </row>
    <row r="27" customFormat="false" ht="15" hidden="false" customHeight="true" outlineLevel="0" collapsed="false">
      <c r="A27" s="7" t="s">
        <v>39</v>
      </c>
      <c r="B27" s="7" t="s">
        <v>40</v>
      </c>
      <c r="C27" s="7" t="s">
        <v>41</v>
      </c>
      <c r="D27" s="7" t="s">
        <v>42</v>
      </c>
      <c r="E27" s="7" t="s">
        <v>43</v>
      </c>
    </row>
    <row r="28" customFormat="false" ht="15" hidden="false" customHeight="true" outlineLevel="0" collapsed="false">
      <c r="A28" s="8" t="s">
        <v>6</v>
      </c>
      <c r="B28" s="8" t="n">
        <f aca="false">COUNTIF(Rules!Q:Q,"Draft – verify")</f>
        <v>22</v>
      </c>
      <c r="C28" s="8" t="n">
        <f aca="false">COUNTIF(Rules!Q:Q,"In review")</f>
        <v>0</v>
      </c>
      <c r="D28" s="8" t="n">
        <f aca="false">COUNTIF(Rules!Q:Q,"Approved")</f>
        <v>0</v>
      </c>
      <c r="E28" s="8" t="n">
        <f aca="false">COUNTIF(Rules!Q:Q,"Retired")</f>
        <v>0</v>
      </c>
    </row>
    <row r="29" customFormat="false" ht="15" hidden="false" customHeight="true" outlineLevel="0" collapsed="false">
      <c r="A29" s="8" t="s">
        <v>8</v>
      </c>
      <c r="B29" s="8" t="n">
        <f aca="false">COUNTIF('Recommendation cards'!M:M,"Draft – verify")</f>
        <v>6</v>
      </c>
      <c r="C29" s="8" t="n">
        <f aca="false">COUNTIF('Recommendation cards'!M:M,"In review")</f>
        <v>0</v>
      </c>
      <c r="D29" s="8" t="n">
        <f aca="false">COUNTIF('Recommendation cards'!M:M,"Approved")</f>
        <v>0</v>
      </c>
      <c r="E29" s="8" t="n">
        <f aca="false">COUNTIF('Recommendation cards'!M:M,"Retired")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46"/>
    <col collapsed="false" customWidth="true" hidden="false" outlineLevel="0" max="3" min="3" style="1" width="7"/>
    <col collapsed="false" customWidth="true" hidden="false" outlineLevel="0" max="4" min="4" style="1" width="16"/>
    <col collapsed="false" customWidth="true" hidden="false" outlineLevel="0" max="5" min="5" style="1" width="9"/>
    <col collapsed="false" customWidth="true" hidden="false" outlineLevel="0" max="6" min="6" style="1" width="10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9"/>
    <col collapsed="false" customWidth="true" hidden="false" outlineLevel="0" max="10" min="10" style="1" width="11"/>
    <col collapsed="false" customWidth="true" hidden="false" outlineLevel="0" max="11" min="11" style="1" width="13"/>
    <col collapsed="false" customWidth="true" hidden="false" outlineLevel="0" max="12" min="12" style="1" width="30"/>
  </cols>
  <sheetData>
    <row r="1" customFormat="false" ht="31.5" hidden="false" customHeight="true" outlineLevel="0" collapsed="false">
      <c r="A1" s="9" t="s">
        <v>44</v>
      </c>
      <c r="B1" s="9" t="s">
        <v>45</v>
      </c>
      <c r="C1" s="9" t="s">
        <v>46</v>
      </c>
      <c r="D1" s="9" t="s">
        <v>47</v>
      </c>
      <c r="E1" s="9" t="s">
        <v>48</v>
      </c>
      <c r="F1" s="9" t="s">
        <v>49</v>
      </c>
      <c r="G1" s="9" t="s">
        <v>50</v>
      </c>
      <c r="H1" s="9" t="s">
        <v>51</v>
      </c>
      <c r="I1" s="9" t="s">
        <v>52</v>
      </c>
      <c r="J1" s="9" t="s">
        <v>53</v>
      </c>
      <c r="K1" s="9" t="s">
        <v>54</v>
      </c>
      <c r="L1" s="9" t="s">
        <v>55</v>
      </c>
    </row>
    <row r="2" customFormat="false" ht="15" hidden="false" customHeight="true" outlineLevel="0" collapsed="false">
      <c r="A2" s="10" t="s">
        <v>56</v>
      </c>
      <c r="B2" s="10" t="s">
        <v>57</v>
      </c>
      <c r="C2" s="10" t="n">
        <v>1</v>
      </c>
      <c r="D2" s="10" t="s">
        <v>58</v>
      </c>
      <c r="E2" s="11" t="n">
        <v>5</v>
      </c>
      <c r="F2" s="10" t="n">
        <f aca="false">COUNTIFS(Rules!$T:$T,$A2,Rules!$Q:$Q,"Approved")</f>
        <v>0</v>
      </c>
      <c r="G2" s="11" t="n">
        <v>6</v>
      </c>
      <c r="H2" s="10" t="n">
        <f aca="false">COUNTIFS('Recommendation cards'!$Q:$Q,$A2,'Recommendation cards'!$M:$M,"Approved")</f>
        <v>0</v>
      </c>
      <c r="I2" s="11" t="n">
        <v>4</v>
      </c>
      <c r="J2" s="10" t="n">
        <f aca="false">COUNTIFS('Test cases'!$B:$B,$A2,'Test cases'!$J:$J,"Ready")+COUNTIFS('Test cases'!$B:$B,$A2,'Test cases'!$J:$J,"Passed")</f>
        <v>0</v>
      </c>
      <c r="K2" s="10" t="s">
        <v>59</v>
      </c>
      <c r="L2" s="10"/>
    </row>
    <row r="3" customFormat="false" ht="23.25" hidden="false" customHeight="true" outlineLevel="0" collapsed="false">
      <c r="A3" s="10" t="s">
        <v>60</v>
      </c>
      <c r="B3" s="10" t="s">
        <v>61</v>
      </c>
      <c r="C3" s="10" t="n">
        <v>1</v>
      </c>
      <c r="D3" s="10" t="s">
        <v>62</v>
      </c>
      <c r="E3" s="11" t="n">
        <v>4</v>
      </c>
      <c r="F3" s="10" t="n">
        <f aca="false">COUNTIFS(Rules!$T:$T,$A3,Rules!$Q:$Q,"Approved")</f>
        <v>0</v>
      </c>
      <c r="G3" s="11" t="n">
        <v>5</v>
      </c>
      <c r="H3" s="10" t="n">
        <f aca="false">COUNTIFS('Recommendation cards'!$Q:$Q,$A3,'Recommendation cards'!$M:$M,"Approved")</f>
        <v>0</v>
      </c>
      <c r="I3" s="11" t="n">
        <v>4</v>
      </c>
      <c r="J3" s="10" t="n">
        <f aca="false">COUNTIFS('Test cases'!$B:$B,$A3,'Test cases'!$J:$J,"Ready")+COUNTIFS('Test cases'!$B:$B,$A3,'Test cases'!$J:$J,"Passed")</f>
        <v>0</v>
      </c>
      <c r="K3" s="10" t="s">
        <v>59</v>
      </c>
      <c r="L3" s="10"/>
    </row>
    <row r="4" customFormat="false" ht="23.25" hidden="false" customHeight="true" outlineLevel="0" collapsed="false">
      <c r="A4" s="10" t="s">
        <v>63</v>
      </c>
      <c r="B4" s="10" t="s">
        <v>64</v>
      </c>
      <c r="C4" s="10" t="n">
        <v>2</v>
      </c>
      <c r="D4" s="10" t="s">
        <v>65</v>
      </c>
      <c r="E4" s="11" t="n">
        <v>2</v>
      </c>
      <c r="F4" s="10" t="n">
        <f aca="false">COUNTIFS(Rules!$T:$T,$A4,Rules!$Q:$Q,"Approved")</f>
        <v>0</v>
      </c>
      <c r="G4" s="11" t="n">
        <v>4</v>
      </c>
      <c r="H4" s="10" t="n">
        <f aca="false">COUNTIFS('Recommendation cards'!$Q:$Q,$A4,'Recommendation cards'!$M:$M,"Approved")</f>
        <v>0</v>
      </c>
      <c r="I4" s="11" t="n">
        <v>3</v>
      </c>
      <c r="J4" s="10" t="n">
        <f aca="false">COUNTIFS('Test cases'!$B:$B,$A4,'Test cases'!$J:$J,"Ready")+COUNTIFS('Test cases'!$B:$B,$A4,'Test cases'!$J:$J,"Passed")</f>
        <v>0</v>
      </c>
      <c r="K4" s="10" t="s">
        <v>59</v>
      </c>
      <c r="L4" s="10"/>
    </row>
    <row r="5" customFormat="false" ht="15" hidden="false" customHeight="true" outlineLevel="0" collapsed="false">
      <c r="A5" s="10" t="s">
        <v>66</v>
      </c>
      <c r="B5" s="10" t="s">
        <v>67</v>
      </c>
      <c r="C5" s="10" t="n">
        <v>3</v>
      </c>
      <c r="D5" s="10" t="s">
        <v>68</v>
      </c>
      <c r="E5" s="11" t="n">
        <v>4</v>
      </c>
      <c r="F5" s="10" t="n">
        <f aca="false">COUNTIFS(Rules!$T:$T,$A5,Rules!$Q:$Q,"Approved")</f>
        <v>0</v>
      </c>
      <c r="G5" s="11" t="n">
        <v>8</v>
      </c>
      <c r="H5" s="10" t="n">
        <f aca="false">COUNTIFS('Recommendation cards'!$Q:$Q,$A5,'Recommendation cards'!$M:$M,"Approved")</f>
        <v>0</v>
      </c>
      <c r="I5" s="11" t="n">
        <v>4</v>
      </c>
      <c r="J5" s="10" t="n">
        <f aca="false">COUNTIFS('Test cases'!$B:$B,$A5,'Test cases'!$J:$J,"Ready")+COUNTIFS('Test cases'!$B:$B,$A5,'Test cases'!$J:$J,"Passed")</f>
        <v>0</v>
      </c>
      <c r="K5" s="10" t="s">
        <v>59</v>
      </c>
      <c r="L5" s="10"/>
    </row>
    <row r="6" customFormat="false" ht="23.25" hidden="false" customHeight="true" outlineLevel="0" collapsed="false">
      <c r="A6" s="10" t="s">
        <v>69</v>
      </c>
      <c r="B6" s="10" t="s">
        <v>70</v>
      </c>
      <c r="C6" s="10" t="n">
        <v>2</v>
      </c>
      <c r="D6" s="10" t="s">
        <v>71</v>
      </c>
      <c r="E6" s="11" t="n">
        <v>2</v>
      </c>
      <c r="F6" s="10" t="n">
        <f aca="false">COUNTIFS(Rules!$T:$T,$A6,Rules!$Q:$Q,"Approved")</f>
        <v>0</v>
      </c>
      <c r="G6" s="11" t="n">
        <v>3</v>
      </c>
      <c r="H6" s="10" t="n">
        <f aca="false">COUNTIFS('Recommendation cards'!$Q:$Q,$A6,'Recommendation cards'!$M:$M,"Approved")</f>
        <v>0</v>
      </c>
      <c r="I6" s="11" t="n">
        <v>3</v>
      </c>
      <c r="J6" s="10" t="n">
        <f aca="false">COUNTIFS('Test cases'!$B:$B,$A6,'Test cases'!$J:$J,"Ready")+COUNTIFS('Test cases'!$B:$B,$A6,'Test cases'!$J:$J,"Passed")</f>
        <v>0</v>
      </c>
      <c r="K6" s="10" t="s">
        <v>59</v>
      </c>
      <c r="L6" s="10"/>
    </row>
    <row r="7" customFormat="false" ht="23.25" hidden="false" customHeight="true" outlineLevel="0" collapsed="false">
      <c r="A7" s="10" t="s">
        <v>72</v>
      </c>
      <c r="B7" s="10" t="s">
        <v>73</v>
      </c>
      <c r="C7" s="10" t="n">
        <v>3</v>
      </c>
      <c r="D7" s="10" t="s">
        <v>74</v>
      </c>
      <c r="E7" s="11" t="n">
        <v>4</v>
      </c>
      <c r="F7" s="10" t="n">
        <f aca="false">COUNTIFS(Rules!$T:$T,$A7,Rules!$Q:$Q,"Approved")</f>
        <v>0</v>
      </c>
      <c r="G7" s="11" t="n">
        <v>6</v>
      </c>
      <c r="H7" s="10" t="n">
        <f aca="false">COUNTIFS('Recommendation cards'!$Q:$Q,$A7,'Recommendation cards'!$M:$M,"Approved")</f>
        <v>0</v>
      </c>
      <c r="I7" s="11" t="n">
        <v>4</v>
      </c>
      <c r="J7" s="10" t="n">
        <f aca="false">COUNTIFS('Test cases'!$B:$B,$A7,'Test cases'!$J:$J,"Ready")+COUNTIFS('Test cases'!$B:$B,$A7,'Test cases'!$J:$J,"Passed")</f>
        <v>0</v>
      </c>
      <c r="K7" s="10" t="s">
        <v>59</v>
      </c>
      <c r="L7" s="10"/>
    </row>
    <row r="8" customFormat="false" ht="15" hidden="false" customHeight="true" outlineLevel="0" collapsed="false">
      <c r="A8" s="10" t="s">
        <v>75</v>
      </c>
      <c r="B8" s="10" t="s">
        <v>76</v>
      </c>
      <c r="C8" s="10" t="n">
        <v>4</v>
      </c>
      <c r="D8" s="10" t="s">
        <v>77</v>
      </c>
      <c r="E8" s="11" t="n">
        <v>3</v>
      </c>
      <c r="F8" s="10" t="n">
        <f aca="false">COUNTIFS(Rules!$T:$T,$A8,Rules!$Q:$Q,"Approved")</f>
        <v>0</v>
      </c>
      <c r="G8" s="11" t="n">
        <v>5</v>
      </c>
      <c r="H8" s="10" t="n">
        <f aca="false">COUNTIFS('Recommendation cards'!$Q:$Q,$A8,'Recommendation cards'!$M:$M,"Approved")</f>
        <v>0</v>
      </c>
      <c r="I8" s="11" t="n">
        <v>3</v>
      </c>
      <c r="J8" s="10" t="n">
        <f aca="false">COUNTIFS('Test cases'!$B:$B,$A8,'Test cases'!$J:$J,"Ready")+COUNTIFS('Test cases'!$B:$B,$A8,'Test cases'!$J:$J,"Passed")</f>
        <v>0</v>
      </c>
      <c r="K8" s="10" t="s">
        <v>59</v>
      </c>
      <c r="L8" s="10"/>
    </row>
    <row r="9" customFormat="false" ht="15" hidden="false" customHeight="true" outlineLevel="0" collapsed="false">
      <c r="A9" s="10" t="s">
        <v>78</v>
      </c>
      <c r="B9" s="10" t="s">
        <v>79</v>
      </c>
      <c r="C9" s="10" t="n">
        <v>4</v>
      </c>
      <c r="D9" s="10" t="s">
        <v>80</v>
      </c>
      <c r="E9" s="11" t="n">
        <v>2</v>
      </c>
      <c r="F9" s="10" t="n">
        <f aca="false">COUNTIFS(Rules!$T:$T,$A9,Rules!$Q:$Q,"Approved")</f>
        <v>0</v>
      </c>
      <c r="G9" s="11" t="n">
        <v>5</v>
      </c>
      <c r="H9" s="10" t="n">
        <f aca="false">COUNTIFS('Recommendation cards'!$Q:$Q,$A9,'Recommendation cards'!$M:$M,"Approved")</f>
        <v>0</v>
      </c>
      <c r="I9" s="11" t="n">
        <v>3</v>
      </c>
      <c r="J9" s="10" t="n">
        <f aca="false">COUNTIFS('Test cases'!$B:$B,$A9,'Test cases'!$J:$J,"Ready")+COUNTIFS('Test cases'!$B:$B,$A9,'Test cases'!$J:$J,"Passed")</f>
        <v>0</v>
      </c>
      <c r="K9" s="10" t="s">
        <v>59</v>
      </c>
      <c r="L9" s="10"/>
    </row>
    <row r="10" customFormat="false" ht="15" hidden="false" customHeight="true" outlineLevel="0" collapsed="false">
      <c r="A10" s="10" t="s">
        <v>81</v>
      </c>
      <c r="B10" s="10" t="s">
        <v>82</v>
      </c>
      <c r="C10" s="10" t="n">
        <v>4</v>
      </c>
      <c r="D10" s="10" t="s">
        <v>83</v>
      </c>
      <c r="E10" s="11" t="n">
        <v>2</v>
      </c>
      <c r="F10" s="10" t="n">
        <f aca="false">COUNTIFS(Rules!$T:$T,$A10,Rules!$Q:$Q,"Approved")</f>
        <v>0</v>
      </c>
      <c r="G10" s="11" t="n">
        <v>4</v>
      </c>
      <c r="H10" s="10" t="n">
        <f aca="false">COUNTIFS('Recommendation cards'!$Q:$Q,$A10,'Recommendation cards'!$M:$M,"Approved")</f>
        <v>0</v>
      </c>
      <c r="I10" s="11" t="n">
        <v>3</v>
      </c>
      <c r="J10" s="10" t="n">
        <f aca="false">COUNTIFS('Test cases'!$B:$B,$A10,'Test cases'!$J:$J,"Ready")+COUNTIFS('Test cases'!$B:$B,$A10,'Test cases'!$J:$J,"Passed")</f>
        <v>0</v>
      </c>
      <c r="K10" s="10" t="s">
        <v>59</v>
      </c>
      <c r="L10" s="10"/>
    </row>
    <row r="11" customFormat="false" ht="23.25" hidden="false" customHeight="true" outlineLevel="0" collapsed="false">
      <c r="A11" s="10" t="s">
        <v>84</v>
      </c>
      <c r="B11" s="10" t="s">
        <v>85</v>
      </c>
      <c r="C11" s="10" t="n">
        <v>4</v>
      </c>
      <c r="D11" s="10" t="s">
        <v>86</v>
      </c>
      <c r="E11" s="11" t="n">
        <v>2</v>
      </c>
      <c r="F11" s="10" t="n">
        <f aca="false">COUNTIFS(Rules!$T:$T,$A11,Rules!$Q:$Q,"Approved")</f>
        <v>0</v>
      </c>
      <c r="G11" s="11" t="n">
        <v>3</v>
      </c>
      <c r="H11" s="10" t="n">
        <f aca="false">COUNTIFS('Recommendation cards'!$Q:$Q,$A11,'Recommendation cards'!$M:$M,"Approved")</f>
        <v>0</v>
      </c>
      <c r="I11" s="11" t="n">
        <v>3</v>
      </c>
      <c r="J11" s="10" t="n">
        <f aca="false">COUNTIFS('Test cases'!$B:$B,$A11,'Test cases'!$J:$J,"Ready")+COUNTIFS('Test cases'!$B:$B,$A11,'Test cases'!$J:$J,"Passed")</f>
        <v>0</v>
      </c>
      <c r="K11" s="10" t="s">
        <v>59</v>
      </c>
      <c r="L11" s="10"/>
    </row>
    <row r="12" customFormat="false" ht="15" hidden="false" customHeight="true" outlineLevel="0" collapsed="false">
      <c r="A12" s="6" t="s">
        <v>87</v>
      </c>
      <c r="E12" s="12" t="n">
        <f aca="false">SUM(E2:E11)</f>
        <v>30</v>
      </c>
      <c r="F12" s="12" t="n">
        <f aca="false">SUM(F2:F11)</f>
        <v>0</v>
      </c>
      <c r="G12" s="12" t="n">
        <f aca="false">SUM(G2:G11)</f>
        <v>49</v>
      </c>
      <c r="H12" s="12" t="n">
        <f aca="false">SUM(H2:H11)</f>
        <v>0</v>
      </c>
      <c r="I12" s="12" t="n">
        <f aca="false">SUM(I2:I11)</f>
        <v>34</v>
      </c>
      <c r="J12" s="12" t="n">
        <f aca="false">SUM(J2:J11)</f>
        <v>0</v>
      </c>
    </row>
    <row r="14" customFormat="false" ht="15" hidden="false" customHeight="true" outlineLevel="0" collapsed="false">
      <c r="A14" s="13" t="s">
        <v>88</v>
      </c>
    </row>
  </sheetData>
  <dataValidations count="1">
    <dataValidation allowBlank="true" errorStyle="stop" operator="between" showDropDown="false" showErrorMessage="false" showInputMessage="false" sqref="K2:K11" type="list">
      <formula1>Lists!$L$2:$L$5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48"/>
    <col collapsed="false" customWidth="true" hidden="false" outlineLevel="0" max="3" min="3" style="1" width="22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1"/>
    <col collapsed="false" customWidth="true" hidden="false" outlineLevel="0" max="8" min="8" style="1" width="34"/>
    <col collapsed="false" customWidth="true" hidden="false" outlineLevel="0" max="9" min="9" style="1" width="24"/>
    <col collapsed="false" customWidth="true" hidden="false" outlineLevel="0" max="11" min="10" style="1" width="12"/>
    <col collapsed="false" customWidth="true" hidden="false" outlineLevel="0" max="12" min="12" style="1" width="13"/>
    <col collapsed="false" customWidth="true" hidden="false" outlineLevel="0" max="13" min="13" style="1" width="40"/>
  </cols>
  <sheetData>
    <row r="1" customFormat="false" ht="31.5" hidden="false" customHeight="true" outlineLevel="0" collapsed="false">
      <c r="A1" s="9" t="s">
        <v>89</v>
      </c>
      <c r="B1" s="9" t="s">
        <v>90</v>
      </c>
      <c r="C1" s="9" t="s">
        <v>91</v>
      </c>
      <c r="D1" s="9" t="s">
        <v>92</v>
      </c>
      <c r="E1" s="9" t="s">
        <v>93</v>
      </c>
      <c r="F1" s="9" t="s">
        <v>94</v>
      </c>
      <c r="G1" s="9" t="s">
        <v>95</v>
      </c>
      <c r="H1" s="9" t="s">
        <v>96</v>
      </c>
      <c r="I1" s="9" t="s">
        <v>97</v>
      </c>
      <c r="J1" s="9" t="s">
        <v>98</v>
      </c>
      <c r="K1" s="9" t="s">
        <v>99</v>
      </c>
      <c r="L1" s="9" t="s">
        <v>100</v>
      </c>
      <c r="M1" s="9" t="s">
        <v>55</v>
      </c>
    </row>
    <row r="2" customFormat="false" ht="23.25" hidden="false" customHeight="true" outlineLevel="0" collapsed="false">
      <c r="A2" s="14" t="s">
        <v>101</v>
      </c>
      <c r="B2" s="14" t="s">
        <v>102</v>
      </c>
      <c r="C2" s="14" t="s">
        <v>103</v>
      </c>
      <c r="D2" s="14" t="s">
        <v>104</v>
      </c>
      <c r="E2" s="14" t="s">
        <v>105</v>
      </c>
      <c r="F2" s="14" t="s">
        <v>106</v>
      </c>
      <c r="G2" s="14" t="s">
        <v>107</v>
      </c>
      <c r="H2" s="14" t="s">
        <v>108</v>
      </c>
      <c r="I2" s="14" t="s">
        <v>109</v>
      </c>
      <c r="J2" s="14" t="s">
        <v>110</v>
      </c>
      <c r="K2" s="14" t="s">
        <v>111</v>
      </c>
      <c r="L2" s="14"/>
      <c r="M2" s="14" t="s">
        <v>112</v>
      </c>
    </row>
    <row r="3" customFormat="false" ht="23.25" hidden="false" customHeight="true" outlineLevel="0" collapsed="false">
      <c r="A3" s="14" t="s">
        <v>71</v>
      </c>
      <c r="B3" s="14" t="s">
        <v>113</v>
      </c>
      <c r="C3" s="14" t="s">
        <v>114</v>
      </c>
      <c r="D3" s="14" t="s">
        <v>115</v>
      </c>
      <c r="E3" s="14" t="s">
        <v>116</v>
      </c>
      <c r="F3" s="14" t="s">
        <v>117</v>
      </c>
      <c r="G3" s="14" t="s">
        <v>107</v>
      </c>
      <c r="H3" s="14" t="s">
        <v>118</v>
      </c>
      <c r="I3" s="14" t="s">
        <v>109</v>
      </c>
      <c r="J3" s="14" t="s">
        <v>110</v>
      </c>
      <c r="K3" s="14" t="s">
        <v>111</v>
      </c>
      <c r="L3" s="14"/>
      <c r="M3" s="14" t="s">
        <v>119</v>
      </c>
    </row>
    <row r="4" customFormat="false" ht="23.25" hidden="false" customHeight="true" outlineLevel="0" collapsed="false">
      <c r="A4" s="14" t="s">
        <v>120</v>
      </c>
      <c r="B4" s="14" t="s">
        <v>121</v>
      </c>
      <c r="C4" s="14" t="s">
        <v>114</v>
      </c>
      <c r="D4" s="14" t="s">
        <v>122</v>
      </c>
      <c r="E4" s="14" t="s">
        <v>116</v>
      </c>
      <c r="F4" s="14" t="s">
        <v>123</v>
      </c>
      <c r="G4" s="14" t="s">
        <v>107</v>
      </c>
      <c r="H4" s="14" t="s">
        <v>118</v>
      </c>
      <c r="I4" s="14" t="s">
        <v>109</v>
      </c>
      <c r="J4" s="14" t="s">
        <v>110</v>
      </c>
      <c r="K4" s="14" t="s">
        <v>111</v>
      </c>
      <c r="L4" s="14"/>
      <c r="M4" s="14" t="s">
        <v>124</v>
      </c>
    </row>
    <row r="5" customFormat="false" ht="23.25" hidden="false" customHeight="true" outlineLevel="0" collapsed="false">
      <c r="A5" s="14" t="s">
        <v>125</v>
      </c>
      <c r="B5" s="14" t="s">
        <v>126</v>
      </c>
      <c r="C5" s="14" t="s">
        <v>127</v>
      </c>
      <c r="D5" s="14" t="s">
        <v>122</v>
      </c>
      <c r="E5" s="14" t="s">
        <v>105</v>
      </c>
      <c r="F5" s="14" t="s">
        <v>128</v>
      </c>
      <c r="G5" s="14" t="s">
        <v>107</v>
      </c>
      <c r="H5" s="14" t="s">
        <v>129</v>
      </c>
      <c r="I5" s="14" t="s">
        <v>109</v>
      </c>
      <c r="J5" s="14" t="s">
        <v>110</v>
      </c>
      <c r="K5" s="14" t="s">
        <v>111</v>
      </c>
      <c r="L5" s="14"/>
      <c r="M5" s="14" t="s">
        <v>130</v>
      </c>
    </row>
    <row r="6" customFormat="false" ht="23.25" hidden="false" customHeight="true" outlineLevel="0" collapsed="false">
      <c r="A6" s="14" t="s">
        <v>131</v>
      </c>
      <c r="B6" s="14" t="s">
        <v>132</v>
      </c>
      <c r="C6" s="14" t="s">
        <v>133</v>
      </c>
      <c r="D6" s="14" t="s">
        <v>122</v>
      </c>
      <c r="E6" s="14" t="s">
        <v>134</v>
      </c>
      <c r="F6" s="14" t="s">
        <v>106</v>
      </c>
      <c r="G6" s="14" t="s">
        <v>107</v>
      </c>
      <c r="H6" s="14" t="s">
        <v>135</v>
      </c>
      <c r="I6" s="14" t="s">
        <v>109</v>
      </c>
      <c r="J6" s="14" t="s">
        <v>110</v>
      </c>
      <c r="K6" s="14" t="s">
        <v>111</v>
      </c>
      <c r="L6" s="14"/>
      <c r="M6" s="14" t="s">
        <v>136</v>
      </c>
    </row>
    <row r="7" customFormat="false" ht="23.25" hidden="false" customHeight="true" outlineLevel="0" collapsed="false">
      <c r="A7" s="14" t="s">
        <v>137</v>
      </c>
      <c r="B7" s="14" t="s">
        <v>138</v>
      </c>
      <c r="C7" s="14" t="s">
        <v>139</v>
      </c>
      <c r="D7" s="14" t="s">
        <v>122</v>
      </c>
      <c r="E7" s="14" t="s">
        <v>105</v>
      </c>
      <c r="F7" s="14" t="s">
        <v>106</v>
      </c>
      <c r="G7" s="14" t="s">
        <v>107</v>
      </c>
      <c r="H7" s="14" t="s">
        <v>118</v>
      </c>
      <c r="I7" s="14" t="s">
        <v>109</v>
      </c>
      <c r="J7" s="14" t="s">
        <v>110</v>
      </c>
      <c r="K7" s="14" t="s">
        <v>111</v>
      </c>
      <c r="L7" s="14"/>
      <c r="M7" s="14" t="s">
        <v>140</v>
      </c>
    </row>
    <row r="8" customFormat="false" ht="23.25" hidden="false" customHeight="true" outlineLevel="0" collapsed="false">
      <c r="A8" s="14" t="s">
        <v>141</v>
      </c>
      <c r="B8" s="14" t="s">
        <v>142</v>
      </c>
      <c r="C8" s="14" t="s">
        <v>143</v>
      </c>
      <c r="D8" s="14" t="s">
        <v>144</v>
      </c>
      <c r="E8" s="14" t="s">
        <v>145</v>
      </c>
      <c r="F8" s="14" t="s">
        <v>106</v>
      </c>
      <c r="G8" s="14" t="s">
        <v>107</v>
      </c>
      <c r="H8" s="14" t="s">
        <v>118</v>
      </c>
      <c r="I8" s="14" t="s">
        <v>109</v>
      </c>
      <c r="J8" s="14" t="s">
        <v>110</v>
      </c>
      <c r="K8" s="14" t="s">
        <v>146</v>
      </c>
      <c r="L8" s="14"/>
      <c r="M8" s="14" t="s">
        <v>147</v>
      </c>
    </row>
    <row r="9" customFormat="false" ht="23.25" hidden="false" customHeight="true" outlineLevel="0" collapsed="false">
      <c r="A9" s="14" t="s">
        <v>77</v>
      </c>
      <c r="B9" s="14" t="s">
        <v>148</v>
      </c>
      <c r="C9" s="14" t="s">
        <v>149</v>
      </c>
      <c r="D9" s="14" t="s">
        <v>150</v>
      </c>
      <c r="E9" s="14" t="s">
        <v>151</v>
      </c>
      <c r="F9" s="14" t="s">
        <v>152</v>
      </c>
      <c r="G9" s="14" t="s">
        <v>107</v>
      </c>
      <c r="H9" s="14" t="s">
        <v>118</v>
      </c>
      <c r="I9" s="14" t="s">
        <v>109</v>
      </c>
      <c r="J9" s="14" t="s">
        <v>110</v>
      </c>
      <c r="K9" s="14" t="s">
        <v>146</v>
      </c>
      <c r="L9" s="14"/>
      <c r="M9" s="14" t="s">
        <v>153</v>
      </c>
    </row>
    <row r="10" customFormat="false" ht="15" hidden="false" customHeight="true" outlineLevel="0" collapsed="false">
      <c r="A10" s="14" t="s">
        <v>154</v>
      </c>
      <c r="B10" s="14" t="s">
        <v>155</v>
      </c>
      <c r="C10" s="14" t="s">
        <v>156</v>
      </c>
      <c r="D10" s="14" t="s">
        <v>157</v>
      </c>
      <c r="E10" s="14" t="s">
        <v>158</v>
      </c>
      <c r="F10" s="14" t="s">
        <v>159</v>
      </c>
      <c r="G10" s="14" t="s">
        <v>107</v>
      </c>
      <c r="H10" s="14" t="s">
        <v>160</v>
      </c>
      <c r="I10" s="14" t="s">
        <v>161</v>
      </c>
      <c r="J10" s="14" t="s">
        <v>162</v>
      </c>
      <c r="K10" s="14" t="s">
        <v>111</v>
      </c>
      <c r="L10" s="14"/>
      <c r="M10" s="14" t="s">
        <v>163</v>
      </c>
    </row>
    <row r="11" customFormat="false" ht="23.25" hidden="false" customHeight="true" outlineLevel="0" collapsed="false">
      <c r="A11" s="14" t="s">
        <v>164</v>
      </c>
      <c r="B11" s="14" t="s">
        <v>165</v>
      </c>
      <c r="C11" s="14" t="s">
        <v>166</v>
      </c>
      <c r="D11" s="14" t="s">
        <v>167</v>
      </c>
      <c r="E11" s="14" t="s">
        <v>168</v>
      </c>
      <c r="F11" s="14" t="s">
        <v>159</v>
      </c>
      <c r="G11" s="14" t="s">
        <v>107</v>
      </c>
      <c r="H11" s="14" t="s">
        <v>169</v>
      </c>
      <c r="I11" s="14" t="s">
        <v>170</v>
      </c>
      <c r="J11" s="14" t="s">
        <v>162</v>
      </c>
      <c r="K11" s="14" t="s">
        <v>111</v>
      </c>
      <c r="L11" s="14"/>
      <c r="M11" s="14" t="s">
        <v>171</v>
      </c>
    </row>
    <row r="12" customFormat="false" ht="23.25" hidden="false" customHeight="true" outlineLevel="0" collapsed="false">
      <c r="A12" s="14" t="s">
        <v>172</v>
      </c>
      <c r="B12" s="14" t="s">
        <v>173</v>
      </c>
      <c r="C12" s="14" t="s">
        <v>174</v>
      </c>
      <c r="D12" s="14" t="s">
        <v>111</v>
      </c>
      <c r="E12" s="14" t="s">
        <v>175</v>
      </c>
      <c r="F12" s="14" t="s">
        <v>159</v>
      </c>
      <c r="G12" s="14" t="s">
        <v>107</v>
      </c>
      <c r="H12" s="14" t="s">
        <v>118</v>
      </c>
      <c r="I12" s="14" t="s">
        <v>176</v>
      </c>
      <c r="J12" s="14" t="s">
        <v>177</v>
      </c>
      <c r="K12" s="14" t="s">
        <v>146</v>
      </c>
      <c r="L12" s="14"/>
      <c r="M12" s="14" t="s">
        <v>178</v>
      </c>
    </row>
    <row r="13" customFormat="false" ht="23.25" hidden="false" customHeight="true" outlineLevel="0" collapsed="false">
      <c r="A13" s="14" t="s">
        <v>179</v>
      </c>
      <c r="B13" s="14" t="s">
        <v>180</v>
      </c>
      <c r="C13" s="14" t="s">
        <v>181</v>
      </c>
      <c r="D13" s="14" t="s">
        <v>111</v>
      </c>
      <c r="E13" s="14" t="s">
        <v>182</v>
      </c>
      <c r="F13" s="14" t="s">
        <v>183</v>
      </c>
      <c r="G13" s="14" t="s">
        <v>184</v>
      </c>
      <c r="H13" s="14" t="s">
        <v>118</v>
      </c>
      <c r="I13" s="14" t="s">
        <v>110</v>
      </c>
      <c r="J13" s="14" t="s">
        <v>110</v>
      </c>
      <c r="K13" s="14" t="s">
        <v>146</v>
      </c>
      <c r="L13" s="14"/>
      <c r="M13" s="14" t="s">
        <v>185</v>
      </c>
    </row>
    <row r="14" customFormat="false" ht="23.25" hidden="false" customHeight="true" outlineLevel="0" collapsed="false">
      <c r="A14" s="14" t="s">
        <v>186</v>
      </c>
      <c r="B14" s="14" t="s">
        <v>187</v>
      </c>
      <c r="C14" s="14" t="s">
        <v>188</v>
      </c>
      <c r="D14" s="14" t="s">
        <v>104</v>
      </c>
      <c r="E14" s="14" t="s">
        <v>189</v>
      </c>
      <c r="F14" s="14" t="s">
        <v>106</v>
      </c>
      <c r="G14" s="14" t="s">
        <v>107</v>
      </c>
      <c r="H14" s="14" t="s">
        <v>118</v>
      </c>
      <c r="I14" s="14" t="s">
        <v>109</v>
      </c>
      <c r="J14" s="14" t="s">
        <v>177</v>
      </c>
      <c r="K14" s="14" t="s">
        <v>111</v>
      </c>
      <c r="L14" s="14"/>
      <c r="M14" s="14" t="s">
        <v>190</v>
      </c>
    </row>
    <row r="15" customFormat="false" ht="15" hidden="false" customHeight="true" outlineLevel="0" collapsed="false">
      <c r="A15" s="14" t="s">
        <v>191</v>
      </c>
      <c r="B15" s="14" t="s">
        <v>192</v>
      </c>
      <c r="C15" s="14" t="s">
        <v>193</v>
      </c>
      <c r="D15" s="14" t="s">
        <v>111</v>
      </c>
      <c r="E15" s="14" t="s">
        <v>194</v>
      </c>
      <c r="F15" s="14" t="s">
        <v>106</v>
      </c>
      <c r="G15" s="14" t="s">
        <v>184</v>
      </c>
      <c r="H15" s="14" t="s">
        <v>118</v>
      </c>
      <c r="I15" s="14" t="s">
        <v>110</v>
      </c>
      <c r="J15" s="14" t="s">
        <v>110</v>
      </c>
      <c r="K15" s="14" t="s">
        <v>146</v>
      </c>
      <c r="L15" s="14"/>
      <c r="M15" s="14" t="s">
        <v>195</v>
      </c>
    </row>
    <row r="16" customFormat="false" ht="15" hidden="false" customHeight="true" outlineLevel="0" collapsed="false">
      <c r="A16" s="14" t="s">
        <v>196</v>
      </c>
      <c r="B16" s="14" t="s">
        <v>197</v>
      </c>
      <c r="C16" s="14" t="s">
        <v>198</v>
      </c>
      <c r="D16" s="14" t="s">
        <v>111</v>
      </c>
      <c r="E16" s="14" t="s">
        <v>168</v>
      </c>
      <c r="F16" s="14" t="s">
        <v>159</v>
      </c>
      <c r="G16" s="14" t="s">
        <v>107</v>
      </c>
      <c r="H16" s="14" t="s">
        <v>199</v>
      </c>
      <c r="I16" s="14" t="s">
        <v>170</v>
      </c>
      <c r="J16" s="14" t="s">
        <v>162</v>
      </c>
      <c r="K16" s="14" t="s">
        <v>111</v>
      </c>
      <c r="L16" s="14"/>
      <c r="M16" s="14" t="s">
        <v>200</v>
      </c>
    </row>
    <row r="17" customFormat="false" ht="23.25" hidden="false" customHeight="true" outlineLevel="0" collapsed="false">
      <c r="A17" s="14" t="s">
        <v>201</v>
      </c>
      <c r="B17" s="14" t="s">
        <v>202</v>
      </c>
      <c r="C17" s="14" t="s">
        <v>203</v>
      </c>
      <c r="D17" s="14" t="s">
        <v>111</v>
      </c>
      <c r="E17" s="14" t="s">
        <v>168</v>
      </c>
      <c r="F17" s="14" t="s">
        <v>106</v>
      </c>
      <c r="G17" s="14" t="s">
        <v>107</v>
      </c>
      <c r="H17" s="14" t="s">
        <v>204</v>
      </c>
      <c r="I17" s="14" t="s">
        <v>170</v>
      </c>
      <c r="J17" s="14" t="s">
        <v>162</v>
      </c>
      <c r="K17" s="14" t="s">
        <v>111</v>
      </c>
      <c r="L17" s="14"/>
      <c r="M17" s="14" t="s">
        <v>205</v>
      </c>
    </row>
    <row r="18" customFormat="false" ht="15" hidden="false" customHeight="true" outlineLevel="0" collapsed="false">
      <c r="A18" s="14" t="s">
        <v>206</v>
      </c>
      <c r="B18" s="14" t="s">
        <v>207</v>
      </c>
      <c r="C18" s="14" t="s">
        <v>208</v>
      </c>
      <c r="D18" s="14" t="s">
        <v>111</v>
      </c>
      <c r="E18" s="14" t="s">
        <v>194</v>
      </c>
      <c r="F18" s="14" t="s">
        <v>106</v>
      </c>
      <c r="G18" s="14" t="s">
        <v>184</v>
      </c>
      <c r="H18" s="14" t="s">
        <v>118</v>
      </c>
      <c r="I18" s="14" t="s">
        <v>110</v>
      </c>
      <c r="J18" s="14" t="s">
        <v>162</v>
      </c>
      <c r="K18" s="14" t="s">
        <v>111</v>
      </c>
      <c r="L18" s="14"/>
      <c r="M18" s="14" t="s">
        <v>209</v>
      </c>
    </row>
  </sheetData>
  <autoFilter ref="A1:M18"/>
  <dataValidations count="6">
    <dataValidation allowBlank="true" errorStyle="stop" operator="between" showDropDown="false" showErrorMessage="false" showInputMessage="false" sqref="E2:E300" type="list">
      <formula1>Lists!$A$2:$A$12</formula1>
      <formula2>0</formula2>
    </dataValidation>
    <dataValidation allowBlank="true" errorStyle="stop" operator="between" showDropDown="false" showErrorMessage="false" showInputMessage="false" sqref="F2:F300" type="list">
      <formula1>Lists!$B$2:$B$8</formula1>
      <formula2>0</formula2>
    </dataValidation>
    <dataValidation allowBlank="true" errorStyle="stop" operator="between" showDropDown="false" showErrorMessage="false" showInputMessage="false" sqref="G2:G300" type="list">
      <formula1>Lists!$C$2:$C$4</formula1>
      <formula2>0</formula2>
    </dataValidation>
    <dataValidation allowBlank="true" errorStyle="stop" operator="between" showDropDown="false" showErrorMessage="false" showInputMessage="false" sqref="I2:I300" type="list">
      <formula1>Lists!$D$2:$D$6</formula1>
      <formula2>0</formula2>
    </dataValidation>
    <dataValidation allowBlank="true" errorStyle="stop" operator="between" showDropDown="false" showErrorMessage="false" showInputMessage="false" sqref="J2:J300" type="list">
      <formula1>Lists!$E$2:$E$4</formula1>
      <formula2>0</formula2>
    </dataValidation>
    <dataValidation allowBlank="true" errorStyle="stop" operator="between" showDropDown="false" showErrorMessage="false" showInputMessage="false" sqref="K2:K300" type="list">
      <formula1>Lists!$F$2:$F$4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40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9" min="8" style="1" width="14"/>
    <col collapsed="false" customWidth="true" hidden="false" outlineLevel="0" max="11" min="10" style="1" width="16"/>
    <col collapsed="false" customWidth="true" hidden="false" outlineLevel="0" max="12" min="12" style="1" width="9"/>
    <col collapsed="false" customWidth="true" hidden="false" outlineLevel="0" max="13" min="13" style="1" width="16"/>
    <col collapsed="false" customWidth="true" hidden="false" outlineLevel="0" max="14" min="14" style="1" width="20"/>
    <col collapsed="false" customWidth="true" hidden="false" outlineLevel="0" max="15" min="15" style="1" width="16"/>
    <col collapsed="false" customWidth="true" hidden="false" outlineLevel="0" max="16" min="16" style="1" width="14"/>
    <col collapsed="false" customWidth="true" hidden="false" outlineLevel="0" max="17" min="17" style="1" width="30"/>
  </cols>
  <sheetData>
    <row r="1" customFormat="false" ht="31.5" hidden="false" customHeight="true" outlineLevel="0" collapsed="false">
      <c r="A1" s="9" t="s">
        <v>210</v>
      </c>
      <c r="B1" s="9" t="s">
        <v>211</v>
      </c>
      <c r="C1" s="9" t="s">
        <v>212</v>
      </c>
      <c r="D1" s="9" t="s">
        <v>213</v>
      </c>
      <c r="E1" s="9" t="s">
        <v>214</v>
      </c>
      <c r="F1" s="9" t="s">
        <v>215</v>
      </c>
      <c r="G1" s="9" t="s">
        <v>216</v>
      </c>
      <c r="H1" s="9" t="s">
        <v>217</v>
      </c>
      <c r="I1" s="9" t="s">
        <v>218</v>
      </c>
      <c r="J1" s="9" t="s">
        <v>219</v>
      </c>
      <c r="K1" s="9" t="s">
        <v>220</v>
      </c>
      <c r="L1" s="9" t="s">
        <v>221</v>
      </c>
      <c r="M1" s="9" t="s">
        <v>222</v>
      </c>
      <c r="N1" s="9" t="s">
        <v>223</v>
      </c>
      <c r="O1" s="9" t="s">
        <v>224</v>
      </c>
      <c r="P1" s="9" t="s">
        <v>54</v>
      </c>
      <c r="Q1" s="9" t="s">
        <v>55</v>
      </c>
    </row>
    <row r="2" customFormat="false" ht="23.25" hidden="false" customHeight="true" outlineLevel="0" collapsed="false">
      <c r="A2" s="14" t="s">
        <v>225</v>
      </c>
      <c r="B2" s="14" t="s">
        <v>226</v>
      </c>
      <c r="C2" s="14" t="s">
        <v>227</v>
      </c>
      <c r="D2" s="14" t="s">
        <v>228</v>
      </c>
      <c r="E2" s="14" t="s">
        <v>229</v>
      </c>
      <c r="F2" s="14" t="s">
        <v>230</v>
      </c>
      <c r="G2" s="14" t="s">
        <v>231</v>
      </c>
      <c r="H2" s="14" t="s">
        <v>232</v>
      </c>
      <c r="I2" s="14" t="s">
        <v>233</v>
      </c>
      <c r="J2" s="14" t="s">
        <v>234</v>
      </c>
      <c r="K2" s="14" t="s">
        <v>235</v>
      </c>
      <c r="L2" s="14" t="s">
        <v>236</v>
      </c>
      <c r="M2" s="14" t="s">
        <v>237</v>
      </c>
      <c r="N2" s="14" t="s">
        <v>238</v>
      </c>
      <c r="O2" s="14" t="s">
        <v>101</v>
      </c>
      <c r="P2" s="14" t="s">
        <v>41</v>
      </c>
      <c r="Q2" s="14"/>
    </row>
    <row r="3" customFormat="false" ht="23.25" hidden="false" customHeight="true" outlineLevel="0" collapsed="false">
      <c r="A3" s="14" t="s">
        <v>239</v>
      </c>
      <c r="B3" s="14" t="s">
        <v>240</v>
      </c>
      <c r="C3" s="14" t="s">
        <v>227</v>
      </c>
      <c r="D3" s="14" t="s">
        <v>241</v>
      </c>
      <c r="E3" s="14" t="s">
        <v>242</v>
      </c>
      <c r="F3" s="14" t="s">
        <v>243</v>
      </c>
      <c r="G3" s="14" t="s">
        <v>244</v>
      </c>
      <c r="H3" s="14" t="s">
        <v>245</v>
      </c>
      <c r="I3" s="14" t="s">
        <v>246</v>
      </c>
      <c r="J3" s="14" t="s">
        <v>234</v>
      </c>
      <c r="K3" s="14" t="s">
        <v>247</v>
      </c>
      <c r="L3" s="14" t="s">
        <v>236</v>
      </c>
      <c r="M3" s="14" t="s">
        <v>248</v>
      </c>
      <c r="N3" s="14" t="s">
        <v>249</v>
      </c>
      <c r="O3" s="14" t="s">
        <v>250</v>
      </c>
      <c r="P3" s="14" t="s">
        <v>41</v>
      </c>
      <c r="Q3" s="14" t="s">
        <v>251</v>
      </c>
    </row>
    <row r="4" customFormat="false" ht="23.25" hidden="false" customHeight="true" outlineLevel="0" collapsed="false">
      <c r="A4" s="14" t="s">
        <v>252</v>
      </c>
      <c r="B4" s="14" t="s">
        <v>253</v>
      </c>
      <c r="C4" s="14" t="s">
        <v>227</v>
      </c>
      <c r="D4" s="14" t="s">
        <v>254</v>
      </c>
      <c r="E4" s="14" t="s">
        <v>212</v>
      </c>
      <c r="F4" s="14" t="s">
        <v>230</v>
      </c>
      <c r="G4" s="14" t="s">
        <v>255</v>
      </c>
      <c r="H4" s="14" t="s">
        <v>230</v>
      </c>
      <c r="I4" s="14" t="s">
        <v>256</v>
      </c>
      <c r="J4" s="14" t="s">
        <v>257</v>
      </c>
      <c r="K4" s="14" t="s">
        <v>258</v>
      </c>
      <c r="L4" s="14" t="s">
        <v>236</v>
      </c>
      <c r="M4" s="14" t="s">
        <v>259</v>
      </c>
      <c r="N4" s="14" t="s">
        <v>238</v>
      </c>
      <c r="O4" s="14" t="s">
        <v>250</v>
      </c>
      <c r="P4" s="14" t="s">
        <v>41</v>
      </c>
      <c r="Q4" s="14" t="s">
        <v>260</v>
      </c>
    </row>
    <row r="5" customFormat="false" ht="23.25" hidden="false" customHeight="true" outlineLevel="0" collapsed="false">
      <c r="A5" s="14" t="s">
        <v>261</v>
      </c>
      <c r="B5" s="14" t="s">
        <v>262</v>
      </c>
      <c r="C5" s="14" t="s">
        <v>227</v>
      </c>
      <c r="D5" s="14" t="s">
        <v>263</v>
      </c>
      <c r="E5" s="14" t="s">
        <v>264</v>
      </c>
      <c r="F5" s="14" t="s">
        <v>230</v>
      </c>
      <c r="G5" s="14" t="s">
        <v>265</v>
      </c>
      <c r="H5" s="14" t="s">
        <v>266</v>
      </c>
      <c r="I5" s="14" t="s">
        <v>233</v>
      </c>
      <c r="J5" s="14" t="s">
        <v>234</v>
      </c>
      <c r="K5" s="14" t="s">
        <v>235</v>
      </c>
      <c r="L5" s="14" t="s">
        <v>236</v>
      </c>
      <c r="M5" s="14" t="s">
        <v>267</v>
      </c>
      <c r="N5" s="14" t="s">
        <v>238</v>
      </c>
      <c r="O5" s="14" t="s">
        <v>268</v>
      </c>
      <c r="P5" s="14" t="s">
        <v>41</v>
      </c>
      <c r="Q5" s="14"/>
    </row>
    <row r="6" customFormat="false" ht="34.5" hidden="false" customHeight="true" outlineLevel="0" collapsed="false">
      <c r="A6" s="14" t="s">
        <v>269</v>
      </c>
      <c r="B6" s="14" t="s">
        <v>270</v>
      </c>
      <c r="C6" s="14" t="s">
        <v>271</v>
      </c>
      <c r="D6" s="14" t="s">
        <v>272</v>
      </c>
      <c r="E6" s="14" t="s">
        <v>264</v>
      </c>
      <c r="F6" s="14" t="s">
        <v>230</v>
      </c>
      <c r="G6" s="14" t="s">
        <v>165</v>
      </c>
      <c r="H6" s="14" t="s">
        <v>157</v>
      </c>
      <c r="I6" s="14" t="s">
        <v>246</v>
      </c>
      <c r="J6" s="14" t="s">
        <v>273</v>
      </c>
      <c r="K6" s="14" t="s">
        <v>274</v>
      </c>
      <c r="L6" s="14" t="s">
        <v>236</v>
      </c>
      <c r="M6" s="14" t="s">
        <v>275</v>
      </c>
      <c r="N6" s="14" t="s">
        <v>276</v>
      </c>
      <c r="O6" s="14" t="s">
        <v>62</v>
      </c>
      <c r="P6" s="14" t="s">
        <v>41</v>
      </c>
      <c r="Q6" s="14" t="s">
        <v>277</v>
      </c>
    </row>
    <row r="7" customFormat="false" ht="23.25" hidden="false" customHeight="true" outlineLevel="0" collapsed="false">
      <c r="A7" s="14" t="s">
        <v>278</v>
      </c>
      <c r="B7" s="14" t="s">
        <v>279</v>
      </c>
      <c r="C7" s="14" t="s">
        <v>280</v>
      </c>
      <c r="D7" s="14" t="s">
        <v>281</v>
      </c>
      <c r="E7" s="14" t="s">
        <v>282</v>
      </c>
      <c r="F7" s="14" t="s">
        <v>283</v>
      </c>
      <c r="G7" s="14" t="s">
        <v>255</v>
      </c>
      <c r="H7" s="14" t="s">
        <v>230</v>
      </c>
      <c r="I7" s="14" t="s">
        <v>184</v>
      </c>
      <c r="J7" s="14" t="s">
        <v>284</v>
      </c>
      <c r="K7" s="14" t="s">
        <v>285</v>
      </c>
      <c r="L7" s="14" t="s">
        <v>236</v>
      </c>
      <c r="M7" s="14"/>
      <c r="N7" s="14" t="s">
        <v>286</v>
      </c>
      <c r="O7" s="14" t="s">
        <v>101</v>
      </c>
      <c r="P7" s="14" t="s">
        <v>41</v>
      </c>
      <c r="Q7" s="14" t="s">
        <v>287</v>
      </c>
    </row>
    <row r="8" customFormat="false" ht="45.75" hidden="false" customHeight="true" outlineLevel="0" collapsed="false">
      <c r="A8" s="14" t="s">
        <v>288</v>
      </c>
      <c r="B8" s="14" t="s">
        <v>289</v>
      </c>
      <c r="C8" s="14" t="s">
        <v>290</v>
      </c>
      <c r="D8" s="14" t="s">
        <v>291</v>
      </c>
      <c r="E8" s="14" t="s">
        <v>242</v>
      </c>
      <c r="F8" s="14" t="s">
        <v>292</v>
      </c>
      <c r="G8" s="14" t="s">
        <v>244</v>
      </c>
      <c r="H8" s="14" t="s">
        <v>293</v>
      </c>
      <c r="I8" s="14" t="s">
        <v>246</v>
      </c>
      <c r="J8" s="14" t="s">
        <v>294</v>
      </c>
      <c r="K8" s="14" t="s">
        <v>295</v>
      </c>
      <c r="L8" s="14" t="s">
        <v>236</v>
      </c>
      <c r="M8" s="14" t="s">
        <v>296</v>
      </c>
      <c r="N8" s="14" t="s">
        <v>276</v>
      </c>
      <c r="O8" s="14" t="s">
        <v>101</v>
      </c>
      <c r="P8" s="14" t="s">
        <v>41</v>
      </c>
      <c r="Q8" s="14"/>
    </row>
    <row r="9" customFormat="false" ht="23.25" hidden="false" customHeight="true" outlineLevel="0" collapsed="false">
      <c r="A9" s="14" t="s">
        <v>297</v>
      </c>
      <c r="B9" s="14" t="s">
        <v>298</v>
      </c>
      <c r="C9" s="14" t="s">
        <v>290</v>
      </c>
      <c r="D9" s="14" t="s">
        <v>299</v>
      </c>
      <c r="E9" s="14" t="s">
        <v>242</v>
      </c>
      <c r="F9" s="14" t="s">
        <v>292</v>
      </c>
      <c r="G9" s="14" t="s">
        <v>244</v>
      </c>
      <c r="H9" s="14" t="s">
        <v>300</v>
      </c>
      <c r="I9" s="14" t="s">
        <v>246</v>
      </c>
      <c r="J9" s="14" t="s">
        <v>294</v>
      </c>
      <c r="K9" s="14" t="s">
        <v>301</v>
      </c>
      <c r="L9" s="14" t="s">
        <v>236</v>
      </c>
      <c r="M9" s="14"/>
      <c r="N9" s="14" t="s">
        <v>276</v>
      </c>
      <c r="O9" s="14" t="s">
        <v>101</v>
      </c>
      <c r="P9" s="14" t="s">
        <v>41</v>
      </c>
      <c r="Q9" s="14"/>
    </row>
    <row r="10" customFormat="false" ht="45.75" hidden="false" customHeight="true" outlineLevel="0" collapsed="false">
      <c r="A10" s="14" t="s">
        <v>302</v>
      </c>
      <c r="B10" s="14" t="s">
        <v>303</v>
      </c>
      <c r="C10" s="14" t="s">
        <v>290</v>
      </c>
      <c r="D10" s="14" t="s">
        <v>304</v>
      </c>
      <c r="E10" s="14" t="s">
        <v>242</v>
      </c>
      <c r="F10" s="14" t="s">
        <v>305</v>
      </c>
      <c r="G10" s="14" t="s">
        <v>244</v>
      </c>
      <c r="H10" s="14" t="s">
        <v>306</v>
      </c>
      <c r="I10" s="14" t="s">
        <v>246</v>
      </c>
      <c r="J10" s="14" t="s">
        <v>294</v>
      </c>
      <c r="K10" s="14" t="s">
        <v>295</v>
      </c>
      <c r="L10" s="14" t="s">
        <v>236</v>
      </c>
      <c r="M10" s="14" t="s">
        <v>307</v>
      </c>
      <c r="N10" s="14" t="s">
        <v>276</v>
      </c>
      <c r="O10" s="14" t="s">
        <v>268</v>
      </c>
      <c r="P10" s="14" t="s">
        <v>41</v>
      </c>
      <c r="Q10" s="14"/>
    </row>
    <row r="11" customFormat="false" ht="23.25" hidden="false" customHeight="true" outlineLevel="0" collapsed="false">
      <c r="A11" s="14" t="s">
        <v>308</v>
      </c>
      <c r="B11" s="14" t="s">
        <v>309</v>
      </c>
      <c r="C11" s="14" t="s">
        <v>290</v>
      </c>
      <c r="D11" s="14" t="s">
        <v>310</v>
      </c>
      <c r="E11" s="14" t="s">
        <v>242</v>
      </c>
      <c r="F11" s="14" t="s">
        <v>311</v>
      </c>
      <c r="G11" s="14" t="s">
        <v>244</v>
      </c>
      <c r="H11" s="14" t="s">
        <v>312</v>
      </c>
      <c r="I11" s="14" t="s">
        <v>246</v>
      </c>
      <c r="J11" s="14" t="s">
        <v>294</v>
      </c>
      <c r="K11" s="14" t="s">
        <v>247</v>
      </c>
      <c r="L11" s="14" t="s">
        <v>236</v>
      </c>
      <c r="M11" s="14"/>
      <c r="N11" s="14" t="s">
        <v>249</v>
      </c>
      <c r="O11" s="14" t="s">
        <v>101</v>
      </c>
      <c r="P11" s="14" t="s">
        <v>41</v>
      </c>
      <c r="Q11" s="14"/>
    </row>
    <row r="12" customFormat="false" ht="23.25" hidden="false" customHeight="true" outlineLevel="0" collapsed="false">
      <c r="A12" s="14" t="s">
        <v>313</v>
      </c>
      <c r="B12" s="14" t="s">
        <v>314</v>
      </c>
      <c r="C12" s="14" t="s">
        <v>315</v>
      </c>
      <c r="D12" s="14" t="s">
        <v>316</v>
      </c>
      <c r="E12" s="14" t="s">
        <v>242</v>
      </c>
      <c r="F12" s="14" t="s">
        <v>317</v>
      </c>
      <c r="G12" s="14" t="s">
        <v>244</v>
      </c>
      <c r="H12" s="14" t="s">
        <v>318</v>
      </c>
      <c r="I12" s="14" t="s">
        <v>319</v>
      </c>
      <c r="J12" s="14" t="s">
        <v>320</v>
      </c>
      <c r="K12" s="14" t="s">
        <v>321</v>
      </c>
      <c r="L12" s="14" t="s">
        <v>236</v>
      </c>
      <c r="M12" s="14" t="s">
        <v>322</v>
      </c>
      <c r="N12" s="14" t="s">
        <v>249</v>
      </c>
      <c r="O12" s="14" t="s">
        <v>65</v>
      </c>
      <c r="P12" s="14" t="s">
        <v>41</v>
      </c>
      <c r="Q12" s="14" t="s">
        <v>323</v>
      </c>
    </row>
    <row r="13" customFormat="false" ht="23.25" hidden="false" customHeight="true" outlineLevel="0" collapsed="false">
      <c r="A13" s="14" t="s">
        <v>324</v>
      </c>
      <c r="B13" s="14" t="s">
        <v>325</v>
      </c>
      <c r="C13" s="14" t="s">
        <v>315</v>
      </c>
      <c r="D13" s="14" t="s">
        <v>326</v>
      </c>
      <c r="E13" s="14" t="s">
        <v>327</v>
      </c>
      <c r="F13" s="14" t="s">
        <v>328</v>
      </c>
      <c r="G13" s="14" t="s">
        <v>244</v>
      </c>
      <c r="H13" s="14" t="s">
        <v>329</v>
      </c>
      <c r="I13" s="14" t="s">
        <v>319</v>
      </c>
      <c r="J13" s="14" t="s">
        <v>330</v>
      </c>
      <c r="K13" s="14" t="s">
        <v>285</v>
      </c>
      <c r="L13" s="14" t="s">
        <v>236</v>
      </c>
      <c r="M13" s="14" t="s">
        <v>331</v>
      </c>
      <c r="N13" s="14" t="s">
        <v>249</v>
      </c>
      <c r="O13" s="14" t="s">
        <v>71</v>
      </c>
      <c r="P13" s="14" t="s">
        <v>41</v>
      </c>
      <c r="Q13" s="14"/>
    </row>
    <row r="14" customFormat="false" ht="23.25" hidden="false" customHeight="true" outlineLevel="0" collapsed="false">
      <c r="A14" s="14" t="s">
        <v>332</v>
      </c>
      <c r="B14" s="14" t="s">
        <v>333</v>
      </c>
      <c r="C14" s="14" t="s">
        <v>315</v>
      </c>
      <c r="D14" s="14" t="s">
        <v>334</v>
      </c>
      <c r="E14" s="14" t="s">
        <v>327</v>
      </c>
      <c r="F14" s="14" t="s">
        <v>335</v>
      </c>
      <c r="G14" s="14" t="s">
        <v>244</v>
      </c>
      <c r="H14" s="14" t="s">
        <v>336</v>
      </c>
      <c r="I14" s="14" t="s">
        <v>337</v>
      </c>
      <c r="J14" s="14" t="s">
        <v>320</v>
      </c>
      <c r="K14" s="14" t="s">
        <v>285</v>
      </c>
      <c r="L14" s="14" t="s">
        <v>236</v>
      </c>
      <c r="M14" s="14"/>
      <c r="N14" s="14" t="s">
        <v>249</v>
      </c>
      <c r="O14" s="14" t="s">
        <v>71</v>
      </c>
      <c r="P14" s="14" t="s">
        <v>41</v>
      </c>
      <c r="Q14" s="14"/>
    </row>
    <row r="15" customFormat="false" ht="34.5" hidden="false" customHeight="true" outlineLevel="0" collapsed="false">
      <c r="A15" s="14" t="s">
        <v>338</v>
      </c>
      <c r="B15" s="14" t="s">
        <v>339</v>
      </c>
      <c r="C15" s="14" t="s">
        <v>340</v>
      </c>
      <c r="D15" s="14" t="s">
        <v>341</v>
      </c>
      <c r="E15" s="14" t="s">
        <v>342</v>
      </c>
      <c r="F15" s="14" t="s">
        <v>230</v>
      </c>
      <c r="G15" s="14" t="s">
        <v>255</v>
      </c>
      <c r="H15" s="14" t="s">
        <v>230</v>
      </c>
      <c r="I15" s="14" t="s">
        <v>184</v>
      </c>
      <c r="J15" s="14" t="s">
        <v>343</v>
      </c>
      <c r="K15" s="14" t="s">
        <v>344</v>
      </c>
      <c r="L15" s="14" t="s">
        <v>236</v>
      </c>
      <c r="M15" s="14" t="s">
        <v>345</v>
      </c>
      <c r="N15" s="14" t="s">
        <v>249</v>
      </c>
      <c r="O15" s="14" t="s">
        <v>65</v>
      </c>
      <c r="P15" s="14" t="s">
        <v>41</v>
      </c>
      <c r="Q15" s="14" t="s">
        <v>346</v>
      </c>
    </row>
    <row r="16" customFormat="false" ht="34.5" hidden="false" customHeight="true" outlineLevel="0" collapsed="false">
      <c r="A16" s="14" t="s">
        <v>347</v>
      </c>
      <c r="B16" s="14" t="s">
        <v>348</v>
      </c>
      <c r="C16" s="14" t="s">
        <v>349</v>
      </c>
      <c r="D16" s="14" t="s">
        <v>350</v>
      </c>
      <c r="E16" s="14" t="s">
        <v>351</v>
      </c>
      <c r="F16" s="14" t="s">
        <v>230</v>
      </c>
      <c r="G16" s="14" t="s">
        <v>255</v>
      </c>
      <c r="H16" s="14" t="s">
        <v>230</v>
      </c>
      <c r="I16" s="14" t="s">
        <v>184</v>
      </c>
      <c r="J16" s="14" t="s">
        <v>352</v>
      </c>
      <c r="K16" s="14" t="s">
        <v>353</v>
      </c>
      <c r="L16" s="14" t="s">
        <v>236</v>
      </c>
      <c r="M16" s="14" t="s">
        <v>354</v>
      </c>
      <c r="N16" s="14" t="s">
        <v>349</v>
      </c>
      <c r="O16" s="14" t="s">
        <v>80</v>
      </c>
      <c r="P16" s="14" t="s">
        <v>41</v>
      </c>
      <c r="Q16" s="14" t="s">
        <v>355</v>
      </c>
    </row>
    <row r="17" customFormat="false" ht="23.25" hidden="false" customHeight="true" outlineLevel="0" collapsed="false">
      <c r="A17" s="14" t="s">
        <v>356</v>
      </c>
      <c r="B17" s="14" t="s">
        <v>207</v>
      </c>
      <c r="C17" s="14" t="s">
        <v>357</v>
      </c>
      <c r="D17" s="14" t="s">
        <v>358</v>
      </c>
      <c r="E17" s="14" t="s">
        <v>359</v>
      </c>
      <c r="F17" s="14" t="s">
        <v>360</v>
      </c>
      <c r="G17" s="14" t="s">
        <v>244</v>
      </c>
      <c r="H17" s="14" t="s">
        <v>361</v>
      </c>
      <c r="I17" s="14" t="s">
        <v>184</v>
      </c>
      <c r="J17" s="14" t="s">
        <v>167</v>
      </c>
      <c r="K17" s="14" t="s">
        <v>362</v>
      </c>
      <c r="L17" s="14" t="s">
        <v>236</v>
      </c>
      <c r="M17" s="14" t="s">
        <v>363</v>
      </c>
      <c r="N17" s="14" t="s">
        <v>286</v>
      </c>
      <c r="O17" s="14" t="s">
        <v>206</v>
      </c>
      <c r="P17" s="14" t="s">
        <v>41</v>
      </c>
      <c r="Q17" s="14"/>
    </row>
    <row r="18" customFormat="false" ht="23.25" hidden="false" customHeight="true" outlineLevel="0" collapsed="false">
      <c r="A18" s="14" t="s">
        <v>364</v>
      </c>
      <c r="B18" s="14" t="s">
        <v>365</v>
      </c>
      <c r="C18" s="14" t="s">
        <v>366</v>
      </c>
      <c r="D18" s="14" t="s">
        <v>367</v>
      </c>
      <c r="E18" s="14" t="s">
        <v>368</v>
      </c>
      <c r="F18" s="14" t="s">
        <v>230</v>
      </c>
      <c r="G18" s="14" t="s">
        <v>255</v>
      </c>
      <c r="H18" s="14" t="s">
        <v>230</v>
      </c>
      <c r="I18" s="14" t="s">
        <v>369</v>
      </c>
      <c r="J18" s="14" t="s">
        <v>370</v>
      </c>
      <c r="K18" s="14" t="s">
        <v>247</v>
      </c>
      <c r="L18" s="14" t="s">
        <v>236</v>
      </c>
      <c r="M18" s="14"/>
      <c r="N18" s="14" t="s">
        <v>238</v>
      </c>
      <c r="O18" s="14" t="s">
        <v>101</v>
      </c>
      <c r="P18" s="14" t="s">
        <v>41</v>
      </c>
      <c r="Q18" s="14"/>
    </row>
    <row r="19" customFormat="false" ht="23.25" hidden="false" customHeight="true" outlineLevel="0" collapsed="false">
      <c r="A19" s="14" t="s">
        <v>371</v>
      </c>
      <c r="B19" s="14" t="s">
        <v>372</v>
      </c>
      <c r="C19" s="14" t="s">
        <v>290</v>
      </c>
      <c r="D19" s="14" t="s">
        <v>373</v>
      </c>
      <c r="E19" s="14" t="s">
        <v>242</v>
      </c>
      <c r="F19" s="14" t="s">
        <v>374</v>
      </c>
      <c r="G19" s="14" t="s">
        <v>244</v>
      </c>
      <c r="H19" s="14" t="s">
        <v>375</v>
      </c>
      <c r="I19" s="14" t="s">
        <v>246</v>
      </c>
      <c r="J19" s="14" t="s">
        <v>294</v>
      </c>
      <c r="K19" s="14" t="s">
        <v>301</v>
      </c>
      <c r="L19" s="14" t="s">
        <v>376</v>
      </c>
      <c r="M19" s="14"/>
      <c r="N19" s="14" t="s">
        <v>276</v>
      </c>
      <c r="O19" s="14" t="s">
        <v>101</v>
      </c>
      <c r="P19" s="14" t="s">
        <v>40</v>
      </c>
      <c r="Q19" s="14"/>
    </row>
    <row r="20" customFormat="false" ht="23.25" hidden="false" customHeight="true" outlineLevel="0" collapsed="false">
      <c r="A20" s="14" t="s">
        <v>377</v>
      </c>
      <c r="B20" s="14" t="s">
        <v>378</v>
      </c>
      <c r="C20" s="14" t="s">
        <v>290</v>
      </c>
      <c r="D20" s="14" t="s">
        <v>379</v>
      </c>
      <c r="E20" s="14" t="s">
        <v>242</v>
      </c>
      <c r="F20" s="14" t="s">
        <v>380</v>
      </c>
      <c r="G20" s="14" t="s">
        <v>244</v>
      </c>
      <c r="H20" s="14" t="s">
        <v>381</v>
      </c>
      <c r="I20" s="14" t="s">
        <v>246</v>
      </c>
      <c r="J20" s="14" t="s">
        <v>294</v>
      </c>
      <c r="K20" s="14" t="s">
        <v>362</v>
      </c>
      <c r="L20" s="14" t="s">
        <v>376</v>
      </c>
      <c r="M20" s="14"/>
      <c r="N20" s="14" t="s">
        <v>276</v>
      </c>
      <c r="O20" s="14" t="s">
        <v>154</v>
      </c>
      <c r="P20" s="14" t="s">
        <v>40</v>
      </c>
      <c r="Q20" s="14"/>
    </row>
    <row r="21" customFormat="false" ht="23.25" hidden="false" customHeight="true" outlineLevel="0" collapsed="false">
      <c r="A21" s="14" t="s">
        <v>382</v>
      </c>
      <c r="B21" s="14" t="s">
        <v>383</v>
      </c>
      <c r="C21" s="14" t="s">
        <v>290</v>
      </c>
      <c r="D21" s="14" t="s">
        <v>384</v>
      </c>
      <c r="E21" s="14" t="s">
        <v>242</v>
      </c>
      <c r="F21" s="14" t="s">
        <v>243</v>
      </c>
      <c r="G21" s="14" t="s">
        <v>244</v>
      </c>
      <c r="H21" s="14" t="s">
        <v>385</v>
      </c>
      <c r="I21" s="14" t="s">
        <v>246</v>
      </c>
      <c r="J21" s="14" t="s">
        <v>294</v>
      </c>
      <c r="K21" s="14" t="s">
        <v>386</v>
      </c>
      <c r="L21" s="14" t="s">
        <v>376</v>
      </c>
      <c r="M21" s="14"/>
      <c r="N21" s="14" t="s">
        <v>276</v>
      </c>
      <c r="O21" s="14" t="s">
        <v>125</v>
      </c>
      <c r="P21" s="14" t="s">
        <v>40</v>
      </c>
      <c r="Q21" s="14"/>
    </row>
  </sheetData>
  <autoFilter ref="A1:Q21"/>
  <dataValidations count="4">
    <dataValidation allowBlank="true" errorStyle="stop" operator="between" showDropDown="false" showErrorMessage="false" showInputMessage="false" sqref="I2:I300" type="list">
      <formula1>Lists!$M$2:$M$9</formula1>
      <formula2>0</formula2>
    </dataValidation>
    <dataValidation allowBlank="true" errorStyle="stop" operator="between" showDropDown="false" showErrorMessage="false" showInputMessage="false" sqref="L2:L300" type="list">
      <formula1>Lists!$N$2:$N$3</formula1>
      <formula2>0</formula2>
    </dataValidation>
    <dataValidation allowBlank="true" errorStyle="stop" operator="between" showDropDown="false" showErrorMessage="false" showInputMessage="false" sqref="N2:N300" type="list">
      <formula1>Lists!$I$2:$I$8</formula1>
      <formula2>0</formula2>
    </dataValidation>
    <dataValidation allowBlank="true" errorStyle="stop" operator="between" showDropDown="false" showErrorMessage="false" showInputMessage="false" sqref="P2:P300" type="list">
      <formula1>Lists!$J$2:$J$5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0"/>
    <col collapsed="false" customWidth="true" hidden="false" outlineLevel="0" max="3" min="3" style="1" width="22"/>
    <col collapsed="false" customWidth="true" hidden="false" outlineLevel="0" max="4" min="4" style="1" width="10"/>
    <col collapsed="false" customWidth="true" hidden="false" outlineLevel="0" max="5" min="5" style="1" width="20"/>
    <col collapsed="false" customWidth="true" hidden="false" outlineLevel="0" max="6" min="6" style="1" width="30"/>
    <col collapsed="false" customWidth="true" hidden="false" outlineLevel="0" max="7" min="7" style="1" width="22"/>
    <col collapsed="false" customWidth="true" hidden="false" outlineLevel="0" max="9" min="8" style="1" width="24"/>
    <col collapsed="false" customWidth="true" hidden="false" outlineLevel="0" max="10" min="10" style="1" width="34"/>
    <col collapsed="false" customWidth="true" hidden="false" outlineLevel="0" max="11" min="11" style="1" width="14"/>
    <col collapsed="false" customWidth="true" hidden="false" outlineLevel="0" max="12" min="12" style="1" width="12"/>
    <col collapsed="false" customWidth="true" hidden="false" outlineLevel="0" max="13" min="13" style="1" width="14"/>
    <col collapsed="false" customWidth="true" hidden="false" outlineLevel="0" max="14" min="14" style="1" width="34"/>
  </cols>
  <sheetData>
    <row r="1" customFormat="false" ht="31.5" hidden="false" customHeight="true" outlineLevel="0" collapsed="false">
      <c r="A1" s="9" t="s">
        <v>387</v>
      </c>
      <c r="B1" s="9" t="s">
        <v>210</v>
      </c>
      <c r="C1" s="9" t="s">
        <v>388</v>
      </c>
      <c r="D1" s="9" t="s">
        <v>215</v>
      </c>
      <c r="E1" s="9" t="s">
        <v>389</v>
      </c>
      <c r="F1" s="9" t="s">
        <v>390</v>
      </c>
      <c r="G1" s="9" t="s">
        <v>391</v>
      </c>
      <c r="H1" s="9" t="s">
        <v>392</v>
      </c>
      <c r="I1" s="9" t="s">
        <v>393</v>
      </c>
      <c r="J1" s="9" t="s">
        <v>394</v>
      </c>
      <c r="K1" s="9" t="s">
        <v>395</v>
      </c>
      <c r="L1" s="9" t="s">
        <v>89</v>
      </c>
      <c r="M1" s="9" t="s">
        <v>54</v>
      </c>
      <c r="N1" s="9" t="s">
        <v>55</v>
      </c>
    </row>
    <row r="2" customFormat="false" ht="23.25" hidden="false" customHeight="true" outlineLevel="0" collapsed="false">
      <c r="A2" s="14" t="s">
        <v>396</v>
      </c>
      <c r="B2" s="14" t="s">
        <v>288</v>
      </c>
      <c r="C2" s="14" t="s">
        <v>289</v>
      </c>
      <c r="D2" s="14" t="s">
        <v>292</v>
      </c>
      <c r="E2" s="14" t="s">
        <v>397</v>
      </c>
      <c r="F2" s="14" t="s">
        <v>398</v>
      </c>
      <c r="G2" s="14" t="s">
        <v>399</v>
      </c>
      <c r="H2" s="14" t="s">
        <v>400</v>
      </c>
      <c r="I2" s="14" t="s">
        <v>401</v>
      </c>
      <c r="J2" s="14" t="s">
        <v>402</v>
      </c>
      <c r="K2" s="14" t="s">
        <v>177</v>
      </c>
      <c r="L2" s="14" t="s">
        <v>62</v>
      </c>
      <c r="M2" s="14" t="s">
        <v>40</v>
      </c>
      <c r="N2" s="14"/>
    </row>
    <row r="3" customFormat="false" ht="23.25" hidden="false" customHeight="true" outlineLevel="0" collapsed="false">
      <c r="A3" s="14" t="s">
        <v>403</v>
      </c>
      <c r="B3" s="14" t="s">
        <v>297</v>
      </c>
      <c r="C3" s="14" t="s">
        <v>298</v>
      </c>
      <c r="D3" s="14" t="s">
        <v>292</v>
      </c>
      <c r="E3" s="14" t="s">
        <v>404</v>
      </c>
      <c r="F3" s="14" t="s">
        <v>405</v>
      </c>
      <c r="G3" s="14" t="s">
        <v>406</v>
      </c>
      <c r="H3" s="14" t="s">
        <v>407</v>
      </c>
      <c r="I3" s="14" t="s">
        <v>408</v>
      </c>
      <c r="J3" s="14" t="s">
        <v>409</v>
      </c>
      <c r="K3" s="14" t="s">
        <v>177</v>
      </c>
      <c r="L3" s="14" t="s">
        <v>101</v>
      </c>
      <c r="M3" s="14" t="s">
        <v>40</v>
      </c>
      <c r="N3" s="14"/>
    </row>
    <row r="4" customFormat="false" ht="34.5" hidden="false" customHeight="true" outlineLevel="0" collapsed="false">
      <c r="A4" s="14" t="s">
        <v>410</v>
      </c>
      <c r="B4" s="14" t="s">
        <v>302</v>
      </c>
      <c r="C4" s="14" t="s">
        <v>411</v>
      </c>
      <c r="D4" s="14" t="s">
        <v>412</v>
      </c>
      <c r="E4" s="14" t="s">
        <v>413</v>
      </c>
      <c r="F4" s="14" t="s">
        <v>414</v>
      </c>
      <c r="G4" s="14" t="s">
        <v>415</v>
      </c>
      <c r="H4" s="14" t="s">
        <v>230</v>
      </c>
      <c r="I4" s="14" t="s">
        <v>416</v>
      </c>
      <c r="J4" s="14" t="s">
        <v>417</v>
      </c>
      <c r="K4" s="14" t="s">
        <v>418</v>
      </c>
      <c r="L4" s="14" t="s">
        <v>62</v>
      </c>
      <c r="M4" s="14" t="s">
        <v>40</v>
      </c>
      <c r="N4" s="14" t="s">
        <v>419</v>
      </c>
    </row>
    <row r="5" customFormat="false" ht="34.5" hidden="false" customHeight="true" outlineLevel="0" collapsed="false">
      <c r="A5" s="14" t="s">
        <v>420</v>
      </c>
      <c r="B5" s="14" t="s">
        <v>308</v>
      </c>
      <c r="C5" s="14" t="s">
        <v>421</v>
      </c>
      <c r="D5" s="14" t="s">
        <v>311</v>
      </c>
      <c r="E5" s="14" t="s">
        <v>422</v>
      </c>
      <c r="F5" s="14" t="s">
        <v>423</v>
      </c>
      <c r="G5" s="14" t="s">
        <v>230</v>
      </c>
      <c r="H5" s="14" t="s">
        <v>424</v>
      </c>
      <c r="I5" s="14" t="s">
        <v>230</v>
      </c>
      <c r="J5" s="14" t="s">
        <v>425</v>
      </c>
      <c r="K5" s="14" t="s">
        <v>418</v>
      </c>
      <c r="L5" s="14" t="s">
        <v>426</v>
      </c>
      <c r="M5" s="14" t="s">
        <v>40</v>
      </c>
      <c r="N5" s="14"/>
    </row>
    <row r="6" customFormat="false" ht="23.25" hidden="false" customHeight="true" outlineLevel="0" collapsed="false">
      <c r="A6" s="14" t="s">
        <v>427</v>
      </c>
      <c r="B6" s="14" t="s">
        <v>313</v>
      </c>
      <c r="C6" s="14" t="s">
        <v>428</v>
      </c>
      <c r="D6" s="14" t="s">
        <v>317</v>
      </c>
      <c r="E6" s="14" t="s">
        <v>230</v>
      </c>
      <c r="F6" s="14" t="s">
        <v>429</v>
      </c>
      <c r="G6" s="14" t="s">
        <v>230</v>
      </c>
      <c r="H6" s="14" t="s">
        <v>430</v>
      </c>
      <c r="I6" s="14" t="s">
        <v>431</v>
      </c>
      <c r="J6" s="14" t="s">
        <v>432</v>
      </c>
      <c r="K6" s="14" t="s">
        <v>433</v>
      </c>
      <c r="L6" s="14" t="s">
        <v>434</v>
      </c>
      <c r="M6" s="14" t="s">
        <v>40</v>
      </c>
      <c r="N6" s="14"/>
    </row>
    <row r="7" customFormat="false" ht="45.75" hidden="false" customHeight="true" outlineLevel="0" collapsed="false">
      <c r="A7" s="14" t="s">
        <v>435</v>
      </c>
      <c r="B7" s="14" t="s">
        <v>324</v>
      </c>
      <c r="C7" s="14" t="s">
        <v>325</v>
      </c>
      <c r="D7" s="14" t="s">
        <v>328</v>
      </c>
      <c r="E7" s="14" t="s">
        <v>436</v>
      </c>
      <c r="F7" s="14" t="s">
        <v>437</v>
      </c>
      <c r="G7" s="14" t="s">
        <v>438</v>
      </c>
      <c r="H7" s="14" t="s">
        <v>439</v>
      </c>
      <c r="I7" s="14" t="s">
        <v>440</v>
      </c>
      <c r="J7" s="14" t="s">
        <v>441</v>
      </c>
      <c r="K7" s="14" t="s">
        <v>442</v>
      </c>
      <c r="L7" s="14" t="s">
        <v>443</v>
      </c>
      <c r="M7" s="14" t="s">
        <v>40</v>
      </c>
      <c r="N7" s="14" t="s">
        <v>444</v>
      </c>
    </row>
    <row r="8" customFormat="false" ht="34.5" hidden="false" customHeight="true" outlineLevel="0" collapsed="false">
      <c r="A8" s="14" t="s">
        <v>445</v>
      </c>
      <c r="B8" s="14" t="s">
        <v>332</v>
      </c>
      <c r="C8" s="14" t="s">
        <v>334</v>
      </c>
      <c r="D8" s="14" t="s">
        <v>335</v>
      </c>
      <c r="E8" s="14" t="s">
        <v>446</v>
      </c>
      <c r="F8" s="14" t="s">
        <v>447</v>
      </c>
      <c r="G8" s="14" t="s">
        <v>448</v>
      </c>
      <c r="H8" s="14" t="s">
        <v>449</v>
      </c>
      <c r="I8" s="14" t="s">
        <v>450</v>
      </c>
      <c r="J8" s="14" t="s">
        <v>451</v>
      </c>
      <c r="K8" s="14" t="s">
        <v>162</v>
      </c>
      <c r="L8" s="14" t="s">
        <v>452</v>
      </c>
      <c r="M8" s="14" t="s">
        <v>40</v>
      </c>
      <c r="N8" s="14"/>
    </row>
    <row r="9" customFormat="false" ht="45.75" hidden="false" customHeight="true" outlineLevel="0" collapsed="false">
      <c r="A9" s="14" t="s">
        <v>453</v>
      </c>
      <c r="B9" s="14" t="s">
        <v>356</v>
      </c>
      <c r="C9" s="14" t="s">
        <v>454</v>
      </c>
      <c r="D9" s="14" t="s">
        <v>360</v>
      </c>
      <c r="E9" s="14" t="s">
        <v>455</v>
      </c>
      <c r="F9" s="14" t="s">
        <v>456</v>
      </c>
      <c r="G9" s="14" t="s">
        <v>230</v>
      </c>
      <c r="H9" s="14" t="s">
        <v>457</v>
      </c>
      <c r="I9" s="14" t="s">
        <v>458</v>
      </c>
      <c r="J9" s="14" t="s">
        <v>459</v>
      </c>
      <c r="K9" s="14" t="s">
        <v>177</v>
      </c>
      <c r="L9" s="14" t="s">
        <v>206</v>
      </c>
      <c r="M9" s="14" t="s">
        <v>40</v>
      </c>
      <c r="N9" s="14" t="s">
        <v>460</v>
      </c>
    </row>
    <row r="10" customFormat="false" ht="34.5" hidden="false" customHeight="true" outlineLevel="0" collapsed="false">
      <c r="A10" s="14" t="s">
        <v>461</v>
      </c>
      <c r="B10" s="14" t="s">
        <v>338</v>
      </c>
      <c r="C10" s="14" t="s">
        <v>340</v>
      </c>
      <c r="D10" s="14" t="s">
        <v>230</v>
      </c>
      <c r="E10" s="14" t="s">
        <v>230</v>
      </c>
      <c r="F10" s="14" t="s">
        <v>230</v>
      </c>
      <c r="G10" s="14" t="s">
        <v>230</v>
      </c>
      <c r="H10" s="14" t="s">
        <v>462</v>
      </c>
      <c r="I10" s="14" t="s">
        <v>463</v>
      </c>
      <c r="J10" s="14" t="s">
        <v>464</v>
      </c>
      <c r="K10" s="14" t="s">
        <v>177</v>
      </c>
      <c r="L10" s="14" t="s">
        <v>434</v>
      </c>
      <c r="M10" s="14" t="s">
        <v>40</v>
      </c>
      <c r="N10" s="14"/>
    </row>
    <row r="11" customFormat="false" ht="23.25" hidden="false" customHeight="true" outlineLevel="0" collapsed="false">
      <c r="A11" s="14" t="s">
        <v>465</v>
      </c>
      <c r="B11" s="14" t="s">
        <v>371</v>
      </c>
      <c r="C11" s="14" t="s">
        <v>372</v>
      </c>
      <c r="D11" s="14" t="s">
        <v>374</v>
      </c>
      <c r="E11" s="14" t="s">
        <v>466</v>
      </c>
      <c r="F11" s="14" t="s">
        <v>467</v>
      </c>
      <c r="G11" s="14" t="s">
        <v>468</v>
      </c>
      <c r="H11" s="14" t="s">
        <v>469</v>
      </c>
      <c r="I11" s="14" t="s">
        <v>470</v>
      </c>
      <c r="J11" s="14" t="s">
        <v>471</v>
      </c>
      <c r="K11" s="14" t="s">
        <v>177</v>
      </c>
      <c r="L11" s="14" t="s">
        <v>101</v>
      </c>
      <c r="M11" s="14" t="s">
        <v>40</v>
      </c>
      <c r="N11" s="14"/>
    </row>
    <row r="12" customFormat="false" ht="23.25" hidden="false" customHeight="true" outlineLevel="0" collapsed="false">
      <c r="A12" s="14" t="s">
        <v>472</v>
      </c>
      <c r="B12" s="14" t="s">
        <v>377</v>
      </c>
      <c r="C12" s="14" t="s">
        <v>378</v>
      </c>
      <c r="D12" s="14" t="s">
        <v>380</v>
      </c>
      <c r="E12" s="14" t="s">
        <v>473</v>
      </c>
      <c r="F12" s="14" t="s">
        <v>474</v>
      </c>
      <c r="G12" s="14" t="s">
        <v>475</v>
      </c>
      <c r="H12" s="14" t="s">
        <v>476</v>
      </c>
      <c r="I12" s="14" t="s">
        <v>477</v>
      </c>
      <c r="J12" s="14" t="s">
        <v>478</v>
      </c>
      <c r="K12" s="14" t="s">
        <v>442</v>
      </c>
      <c r="L12" s="14" t="s">
        <v>154</v>
      </c>
      <c r="M12" s="14" t="s">
        <v>40</v>
      </c>
      <c r="N12" s="14"/>
    </row>
    <row r="13" customFormat="false" ht="23.25" hidden="false" customHeight="true" outlineLevel="0" collapsed="false">
      <c r="A13" s="14" t="s">
        <v>479</v>
      </c>
      <c r="B13" s="14" t="s">
        <v>382</v>
      </c>
      <c r="C13" s="14" t="s">
        <v>383</v>
      </c>
      <c r="D13" s="14" t="s">
        <v>243</v>
      </c>
      <c r="E13" s="14" t="s">
        <v>480</v>
      </c>
      <c r="F13" s="14" t="s">
        <v>481</v>
      </c>
      <c r="G13" s="14" t="s">
        <v>230</v>
      </c>
      <c r="H13" s="14" t="s">
        <v>482</v>
      </c>
      <c r="I13" s="14" t="s">
        <v>230</v>
      </c>
      <c r="J13" s="14" t="s">
        <v>471</v>
      </c>
      <c r="K13" s="14" t="s">
        <v>162</v>
      </c>
      <c r="L13" s="14" t="s">
        <v>125</v>
      </c>
      <c r="M13" s="14" t="s">
        <v>40</v>
      </c>
      <c r="N13" s="14"/>
    </row>
    <row r="15" customFormat="false" ht="15" hidden="false" customHeight="true" outlineLevel="0" collapsed="false">
      <c r="A15" s="5" t="s">
        <v>483</v>
      </c>
    </row>
    <row r="16" customFormat="false" ht="15" hidden="false" customHeight="true" outlineLevel="0" collapsed="false">
      <c r="A16" s="15" t="s">
        <v>484</v>
      </c>
    </row>
    <row r="17" customFormat="false" ht="15" hidden="false" customHeight="true" outlineLevel="0" collapsed="false">
      <c r="A17" s="15" t="s">
        <v>485</v>
      </c>
    </row>
    <row r="18" customFormat="false" ht="15" hidden="false" customHeight="true" outlineLevel="0" collapsed="false">
      <c r="A18" s="15" t="s">
        <v>486</v>
      </c>
    </row>
    <row r="19" customFormat="false" ht="15" hidden="false" customHeight="true" outlineLevel="0" collapsed="false">
      <c r="A19" s="15" t="s">
        <v>487</v>
      </c>
    </row>
  </sheetData>
  <dataValidations count="1">
    <dataValidation allowBlank="true" errorStyle="stop" operator="between" showDropDown="false" showErrorMessage="false" showInputMessage="false" sqref="M2:M200" type="list">
      <formula1>Lists!$J$2:$J$5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70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2" t="s">
        <v>488</v>
      </c>
    </row>
    <row r="3" customFormat="false" ht="15.75" hidden="false" customHeight="true" outlineLevel="0" collapsed="false">
      <c r="A3" s="16" t="s">
        <v>489</v>
      </c>
    </row>
    <row r="4" customFormat="false" ht="15" hidden="false" customHeight="true" outlineLevel="0" collapsed="false">
      <c r="A4" s="17" t="s">
        <v>490</v>
      </c>
      <c r="B4" s="17" t="s">
        <v>491</v>
      </c>
      <c r="C4" s="17" t="s">
        <v>492</v>
      </c>
    </row>
    <row r="5" customFormat="false" ht="15" hidden="false" customHeight="true" outlineLevel="0" collapsed="false">
      <c r="A5" s="10" t="s">
        <v>210</v>
      </c>
      <c r="B5" s="10" t="s">
        <v>493</v>
      </c>
      <c r="C5" s="10" t="s">
        <v>288</v>
      </c>
    </row>
    <row r="6" customFormat="false" ht="15" hidden="false" customHeight="true" outlineLevel="0" collapsed="false">
      <c r="A6" s="10" t="s">
        <v>211</v>
      </c>
      <c r="B6" s="10" t="s">
        <v>494</v>
      </c>
      <c r="C6" s="10" t="s">
        <v>289</v>
      </c>
    </row>
    <row r="7" customFormat="false" ht="23.25" hidden="false" customHeight="true" outlineLevel="0" collapsed="false">
      <c r="A7" s="10" t="s">
        <v>212</v>
      </c>
      <c r="B7" s="10" t="s">
        <v>495</v>
      </c>
      <c r="C7" s="10" t="s">
        <v>290</v>
      </c>
    </row>
    <row r="8" customFormat="false" ht="15" hidden="false" customHeight="true" outlineLevel="0" collapsed="false">
      <c r="A8" s="10" t="s">
        <v>213</v>
      </c>
      <c r="B8" s="10" t="s">
        <v>496</v>
      </c>
      <c r="C8" s="10" t="s">
        <v>291</v>
      </c>
    </row>
    <row r="9" customFormat="false" ht="15" hidden="false" customHeight="true" outlineLevel="0" collapsed="false">
      <c r="A9" s="10" t="s">
        <v>214</v>
      </c>
      <c r="B9" s="10" t="s">
        <v>497</v>
      </c>
      <c r="C9" s="10" t="s">
        <v>242</v>
      </c>
    </row>
    <row r="10" customFormat="false" ht="15" hidden="false" customHeight="true" outlineLevel="0" collapsed="false">
      <c r="A10" s="10" t="s">
        <v>215</v>
      </c>
      <c r="B10" s="10" t="s">
        <v>498</v>
      </c>
      <c r="C10" s="10" t="s">
        <v>292</v>
      </c>
    </row>
    <row r="11" customFormat="false" ht="23.25" hidden="false" customHeight="true" outlineLevel="0" collapsed="false">
      <c r="A11" s="10" t="s">
        <v>499</v>
      </c>
      <c r="B11" s="10" t="s">
        <v>500</v>
      </c>
      <c r="C11" s="10" t="s">
        <v>501</v>
      </c>
    </row>
    <row r="12" customFormat="false" ht="15" hidden="false" customHeight="true" outlineLevel="0" collapsed="false">
      <c r="A12" s="10" t="s">
        <v>218</v>
      </c>
      <c r="B12" s="10" t="s">
        <v>502</v>
      </c>
      <c r="C12" s="10" t="s">
        <v>246</v>
      </c>
    </row>
    <row r="13" customFormat="false" ht="15" hidden="false" customHeight="true" outlineLevel="0" collapsed="false">
      <c r="A13" s="10" t="s">
        <v>219</v>
      </c>
      <c r="B13" s="10" t="s">
        <v>503</v>
      </c>
      <c r="C13" s="10" t="s">
        <v>294</v>
      </c>
    </row>
    <row r="14" customFormat="false" ht="23.25" hidden="false" customHeight="true" outlineLevel="0" collapsed="false">
      <c r="A14" s="10" t="s">
        <v>504</v>
      </c>
      <c r="B14" s="10" t="s">
        <v>505</v>
      </c>
      <c r="C14" s="10" t="s">
        <v>506</v>
      </c>
    </row>
    <row r="15" customFormat="false" ht="15" hidden="false" customHeight="true" outlineLevel="0" collapsed="false">
      <c r="A15" s="10" t="s">
        <v>221</v>
      </c>
      <c r="B15" s="10" t="s">
        <v>507</v>
      </c>
      <c r="C15" s="10" t="s">
        <v>236</v>
      </c>
    </row>
    <row r="16" customFormat="false" ht="15" hidden="false" customHeight="true" outlineLevel="0" collapsed="false">
      <c r="A16" s="10" t="s">
        <v>222</v>
      </c>
      <c r="B16" s="10" t="s">
        <v>508</v>
      </c>
      <c r="C16" s="10" t="s">
        <v>296</v>
      </c>
    </row>
    <row r="17" customFormat="false" ht="15" hidden="false" customHeight="true" outlineLevel="0" collapsed="false">
      <c r="A17" s="10" t="s">
        <v>223</v>
      </c>
      <c r="B17" s="10" t="s">
        <v>509</v>
      </c>
      <c r="C17" s="10" t="s">
        <v>276</v>
      </c>
    </row>
    <row r="18" customFormat="false" ht="15" hidden="false" customHeight="true" outlineLevel="0" collapsed="false">
      <c r="A18" s="10" t="s">
        <v>510</v>
      </c>
      <c r="B18" s="10" t="s">
        <v>511</v>
      </c>
      <c r="C18" s="10" t="s">
        <v>101</v>
      </c>
    </row>
    <row r="19" customFormat="false" ht="15" hidden="false" customHeight="true" outlineLevel="0" collapsed="false">
      <c r="A19" s="10" t="s">
        <v>54</v>
      </c>
      <c r="B19" s="10" t="s">
        <v>512</v>
      </c>
      <c r="C19" s="10" t="s">
        <v>41</v>
      </c>
    </row>
    <row r="21" customFormat="false" ht="15.75" hidden="false" customHeight="true" outlineLevel="0" collapsed="false">
      <c r="A21" s="16" t="s">
        <v>513</v>
      </c>
    </row>
    <row r="22" customFormat="false" ht="15" hidden="false" customHeight="true" outlineLevel="0" collapsed="false">
      <c r="A22" s="17" t="s">
        <v>514</v>
      </c>
      <c r="B22" s="17" t="s">
        <v>515</v>
      </c>
      <c r="C22" s="17"/>
    </row>
    <row r="23" customFormat="false" ht="23.25" hidden="false" customHeight="true" outlineLevel="0" collapsed="false">
      <c r="A23" s="10" t="s">
        <v>516</v>
      </c>
      <c r="B23" s="10" t="s">
        <v>517</v>
      </c>
      <c r="C23" s="10"/>
    </row>
    <row r="24" customFormat="false" ht="23.25" hidden="false" customHeight="true" outlineLevel="0" collapsed="false">
      <c r="A24" s="10" t="s">
        <v>518</v>
      </c>
      <c r="B24" s="10" t="s">
        <v>519</v>
      </c>
      <c r="C24" s="10"/>
    </row>
    <row r="25" customFormat="false" ht="23.25" hidden="false" customHeight="true" outlineLevel="0" collapsed="false">
      <c r="A25" s="10" t="s">
        <v>520</v>
      </c>
      <c r="B25" s="10" t="s">
        <v>521</v>
      </c>
      <c r="C25" s="10"/>
    </row>
    <row r="26" customFormat="false" ht="23.25" hidden="false" customHeight="true" outlineLevel="0" collapsed="false">
      <c r="A26" s="10" t="s">
        <v>522</v>
      </c>
      <c r="B26" s="10" t="s">
        <v>523</v>
      </c>
      <c r="C26" s="10"/>
    </row>
    <row r="27" customFormat="false" ht="23.25" hidden="false" customHeight="true" outlineLevel="0" collapsed="false">
      <c r="A27" s="10" t="s">
        <v>524</v>
      </c>
      <c r="B27" s="10" t="s">
        <v>525</v>
      </c>
      <c r="C27" s="10"/>
    </row>
    <row r="28" customFormat="false" ht="23.25" hidden="false" customHeight="true" outlineLevel="0" collapsed="false">
      <c r="A28" s="10" t="s">
        <v>526</v>
      </c>
      <c r="B28" s="10" t="s">
        <v>527</v>
      </c>
      <c r="C28" s="10"/>
    </row>
    <row r="29" customFormat="false" ht="23.25" hidden="false" customHeight="true" outlineLevel="0" collapsed="false">
      <c r="A29" s="10" t="s">
        <v>528</v>
      </c>
      <c r="B29" s="10" t="s">
        <v>529</v>
      </c>
      <c r="C29" s="10"/>
    </row>
    <row r="30" customFormat="false" ht="15" hidden="false" customHeight="true" outlineLevel="0" collapsed="false">
      <c r="A30" s="10" t="s">
        <v>530</v>
      </c>
      <c r="B30" s="10" t="s">
        <v>531</v>
      </c>
      <c r="C30" s="10"/>
    </row>
    <row r="31" customFormat="false" ht="23.25" hidden="false" customHeight="true" outlineLevel="0" collapsed="false">
      <c r="A31" s="10" t="s">
        <v>532</v>
      </c>
      <c r="B31" s="10" t="s">
        <v>533</v>
      </c>
      <c r="C31" s="10"/>
    </row>
    <row r="32" customFormat="false" ht="23.25" hidden="false" customHeight="true" outlineLevel="0" collapsed="false">
      <c r="A32" s="10" t="s">
        <v>534</v>
      </c>
      <c r="B32" s="10" t="s">
        <v>535</v>
      </c>
      <c r="C32" s="10"/>
    </row>
    <row r="33" customFormat="false" ht="23.25" hidden="false" customHeight="true" outlineLevel="0" collapsed="false">
      <c r="A33" s="10" t="s">
        <v>536</v>
      </c>
      <c r="B33" s="10" t="s">
        <v>537</v>
      </c>
      <c r="C33" s="10"/>
    </row>
    <row r="34" customFormat="false" ht="23.25" hidden="false" customHeight="true" outlineLevel="0" collapsed="false">
      <c r="A34" s="10" t="s">
        <v>538</v>
      </c>
      <c r="B34" s="10" t="s">
        <v>539</v>
      </c>
    </row>
    <row r="35" customFormat="false" ht="15.75" hidden="false" customHeight="true" outlineLevel="0" collapsed="false"/>
    <row r="36" customFormat="false" ht="15" hidden="false" customHeight="true" outlineLevel="0" collapsed="false">
      <c r="A36" s="16" t="s">
        <v>540</v>
      </c>
    </row>
    <row r="37" customFormat="false" ht="23.25" hidden="false" customHeight="true" outlineLevel="0" collapsed="false">
      <c r="A37" s="17" t="s">
        <v>212</v>
      </c>
      <c r="B37" s="17" t="s">
        <v>541</v>
      </c>
      <c r="C37" s="17" t="s">
        <v>542</v>
      </c>
    </row>
    <row r="38" customFormat="false" ht="23.25" hidden="false" customHeight="true" outlineLevel="0" collapsed="false">
      <c r="A38" s="10" t="s">
        <v>543</v>
      </c>
      <c r="B38" s="10" t="s">
        <v>544</v>
      </c>
      <c r="C38" s="10" t="s">
        <v>545</v>
      </c>
    </row>
    <row r="39" customFormat="false" ht="23.25" hidden="false" customHeight="true" outlineLevel="0" collapsed="false">
      <c r="A39" s="10" t="s">
        <v>546</v>
      </c>
      <c r="B39" s="10" t="s">
        <v>547</v>
      </c>
      <c r="C39" s="10" t="s">
        <v>548</v>
      </c>
    </row>
    <row r="40" customFormat="false" ht="23.25" hidden="false" customHeight="true" outlineLevel="0" collapsed="false">
      <c r="A40" s="10" t="s">
        <v>290</v>
      </c>
      <c r="B40" s="10" t="s">
        <v>549</v>
      </c>
      <c r="C40" s="10" t="s">
        <v>550</v>
      </c>
    </row>
    <row r="41" customFormat="false" ht="23.25" hidden="false" customHeight="true" outlineLevel="0" collapsed="false">
      <c r="A41" s="10" t="s">
        <v>551</v>
      </c>
      <c r="B41" s="10" t="s">
        <v>552</v>
      </c>
      <c r="C41" s="10" t="s">
        <v>553</v>
      </c>
    </row>
    <row r="42" customFormat="false" ht="15" hidden="false" customHeight="true" outlineLevel="0" collapsed="false">
      <c r="A42" s="10" t="s">
        <v>349</v>
      </c>
      <c r="B42" s="10" t="s">
        <v>554</v>
      </c>
      <c r="C42" s="10" t="s">
        <v>79</v>
      </c>
    </row>
    <row r="43" customFormat="false" ht="15" hidden="false" customHeight="true" outlineLevel="0" collapsed="false">
      <c r="A43" s="10" t="s">
        <v>357</v>
      </c>
      <c r="B43" s="10" t="s">
        <v>555</v>
      </c>
      <c r="C43" s="10" t="s">
        <v>556</v>
      </c>
    </row>
    <row r="44" customFormat="false" ht="15" hidden="false" customHeight="true" outlineLevel="0" collapsed="false">
      <c r="A44" s="10" t="s">
        <v>557</v>
      </c>
      <c r="B44" s="10" t="s">
        <v>558</v>
      </c>
      <c r="C44" s="10" t="s">
        <v>559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8"/>
    <col collapsed="false" customWidth="true" hidden="false" outlineLevel="0" max="3" min="3" style="1" width="14"/>
    <col collapsed="false" customWidth="true" hidden="false" outlineLevel="0" max="4" min="4" style="1" width="28"/>
    <col collapsed="false" customWidth="true" hidden="false" outlineLevel="0" max="5" min="5" style="1" width="26"/>
    <col collapsed="false" customWidth="true" hidden="false" outlineLevel="0" max="6" min="6" style="1" width="36"/>
    <col collapsed="false" customWidth="true" hidden="false" outlineLevel="0" max="7" min="7" style="1" width="20"/>
    <col collapsed="false" customWidth="true" hidden="false" outlineLevel="0" max="8" min="8" style="1" width="10"/>
    <col collapsed="false" customWidth="true" hidden="false" outlineLevel="0" max="9" min="9" style="1" width="40"/>
    <col collapsed="false" customWidth="true" hidden="false" outlineLevel="0" max="10" min="10" style="1" width="36"/>
    <col collapsed="false" customWidth="true" hidden="false" outlineLevel="0" max="11" min="11" style="1" width="10"/>
    <col collapsed="false" customWidth="true" hidden="false" outlineLevel="0" max="12" min="12" style="1" width="14"/>
    <col collapsed="false" customWidth="true" hidden="false" outlineLevel="0" max="13" min="13" style="1" width="18"/>
    <col collapsed="false" customWidth="true" hidden="false" outlineLevel="0" max="14" min="14" style="1" width="12"/>
    <col collapsed="false" customWidth="true" hidden="false" outlineLevel="0" max="15" min="15" style="1" width="18"/>
    <col collapsed="false" customWidth="true" hidden="false" outlineLevel="0" max="16" min="16" style="1" width="26"/>
    <col collapsed="false" customWidth="true" hidden="false" outlineLevel="0" max="18" min="17" style="1" width="14"/>
    <col collapsed="false" customWidth="true" hidden="false" outlineLevel="0" max="19" min="19" style="1" width="12"/>
    <col collapsed="false" customWidth="true" hidden="false" outlineLevel="0" max="20" min="20" style="1" width="24"/>
  </cols>
  <sheetData>
    <row r="1" customFormat="false" ht="31.5" hidden="false" customHeight="true" outlineLevel="0" collapsed="false">
      <c r="A1" s="9" t="s">
        <v>560</v>
      </c>
      <c r="B1" s="9" t="s">
        <v>561</v>
      </c>
      <c r="C1" s="9" t="s">
        <v>212</v>
      </c>
      <c r="D1" s="9" t="s">
        <v>562</v>
      </c>
      <c r="E1" s="9" t="s">
        <v>563</v>
      </c>
      <c r="F1" s="9" t="s">
        <v>564</v>
      </c>
      <c r="G1" s="9" t="s">
        <v>565</v>
      </c>
      <c r="H1" s="9" t="s">
        <v>566</v>
      </c>
      <c r="I1" s="9" t="s">
        <v>567</v>
      </c>
      <c r="J1" s="9" t="s">
        <v>568</v>
      </c>
      <c r="K1" s="9" t="s">
        <v>89</v>
      </c>
      <c r="L1" s="9" t="s">
        <v>569</v>
      </c>
      <c r="M1" s="9" t="s">
        <v>570</v>
      </c>
      <c r="N1" s="9" t="s">
        <v>571</v>
      </c>
      <c r="O1" s="9" t="s">
        <v>572</v>
      </c>
      <c r="P1" s="9" t="s">
        <v>573</v>
      </c>
      <c r="Q1" s="9" t="s">
        <v>574</v>
      </c>
      <c r="R1" s="9" t="s">
        <v>575</v>
      </c>
      <c r="S1" s="9" t="s">
        <v>576</v>
      </c>
      <c r="T1" s="9" t="s">
        <v>44</v>
      </c>
    </row>
    <row r="2" customFormat="false" ht="34.5" hidden="false" customHeight="true" outlineLevel="0" collapsed="false">
      <c r="A2" s="14" t="s">
        <v>577</v>
      </c>
      <c r="B2" s="14" t="s">
        <v>578</v>
      </c>
      <c r="C2" s="14" t="s">
        <v>579</v>
      </c>
      <c r="D2" s="14" t="s">
        <v>580</v>
      </c>
      <c r="E2" s="14" t="s">
        <v>581</v>
      </c>
      <c r="F2" s="14" t="s">
        <v>582</v>
      </c>
      <c r="G2" s="14" t="s">
        <v>583</v>
      </c>
      <c r="H2" s="14" t="s">
        <v>584</v>
      </c>
      <c r="I2" s="14" t="s">
        <v>585</v>
      </c>
      <c r="J2" s="14" t="s">
        <v>586</v>
      </c>
      <c r="K2" s="14" t="s">
        <v>587</v>
      </c>
      <c r="L2" s="14" t="s">
        <v>588</v>
      </c>
      <c r="M2" s="14" t="s">
        <v>276</v>
      </c>
      <c r="N2" s="14" t="s">
        <v>106</v>
      </c>
      <c r="O2" s="14" t="s">
        <v>589</v>
      </c>
      <c r="P2" s="14" t="s">
        <v>590</v>
      </c>
      <c r="Q2" s="14" t="s">
        <v>40</v>
      </c>
      <c r="R2" s="14"/>
      <c r="S2" s="14"/>
      <c r="T2" s="14" t="s">
        <v>56</v>
      </c>
    </row>
    <row r="3" customFormat="false" ht="34.5" hidden="false" customHeight="true" outlineLevel="0" collapsed="false">
      <c r="A3" s="14" t="s">
        <v>591</v>
      </c>
      <c r="B3" s="14" t="s">
        <v>592</v>
      </c>
      <c r="C3" s="14" t="s">
        <v>593</v>
      </c>
      <c r="D3" s="14" t="s">
        <v>594</v>
      </c>
      <c r="E3" s="14" t="s">
        <v>595</v>
      </c>
      <c r="F3" s="14" t="s">
        <v>596</v>
      </c>
      <c r="G3" s="14" t="s">
        <v>597</v>
      </c>
      <c r="H3" s="14" t="s">
        <v>584</v>
      </c>
      <c r="I3" s="14" t="s">
        <v>598</v>
      </c>
      <c r="J3" s="14" t="s">
        <v>599</v>
      </c>
      <c r="K3" s="14" t="s">
        <v>101</v>
      </c>
      <c r="L3" s="14" t="s">
        <v>600</v>
      </c>
      <c r="M3" s="14" t="s">
        <v>601</v>
      </c>
      <c r="N3" s="14" t="s">
        <v>117</v>
      </c>
      <c r="O3" s="14" t="s">
        <v>602</v>
      </c>
      <c r="P3" s="14"/>
      <c r="Q3" s="14" t="s">
        <v>40</v>
      </c>
      <c r="R3" s="14"/>
      <c r="S3" s="14"/>
      <c r="T3" s="14" t="s">
        <v>60</v>
      </c>
    </row>
    <row r="4" customFormat="false" ht="23.25" hidden="false" customHeight="true" outlineLevel="0" collapsed="false">
      <c r="A4" s="14" t="s">
        <v>307</v>
      </c>
      <c r="B4" s="14" t="s">
        <v>603</v>
      </c>
      <c r="C4" s="14" t="s">
        <v>593</v>
      </c>
      <c r="D4" s="14" t="s">
        <v>594</v>
      </c>
      <c r="E4" s="14" t="s">
        <v>604</v>
      </c>
      <c r="F4" s="14" t="s">
        <v>605</v>
      </c>
      <c r="G4" s="14" t="s">
        <v>606</v>
      </c>
      <c r="H4" s="14" t="s">
        <v>584</v>
      </c>
      <c r="I4" s="14" t="s">
        <v>607</v>
      </c>
      <c r="J4" s="14" t="s">
        <v>608</v>
      </c>
      <c r="K4" s="14" t="s">
        <v>101</v>
      </c>
      <c r="L4" s="14" t="s">
        <v>600</v>
      </c>
      <c r="M4" s="14" t="s">
        <v>276</v>
      </c>
      <c r="N4" s="14" t="s">
        <v>117</v>
      </c>
      <c r="O4" s="14" t="s">
        <v>602</v>
      </c>
      <c r="P4" s="14"/>
      <c r="Q4" s="14" t="s">
        <v>40</v>
      </c>
      <c r="R4" s="14"/>
      <c r="S4" s="14"/>
      <c r="T4" s="14" t="s">
        <v>60</v>
      </c>
    </row>
    <row r="5" customFormat="false" ht="23.25" hidden="false" customHeight="true" outlineLevel="0" collapsed="false">
      <c r="A5" s="14" t="s">
        <v>248</v>
      </c>
      <c r="B5" s="14" t="s">
        <v>609</v>
      </c>
      <c r="C5" s="14" t="s">
        <v>579</v>
      </c>
      <c r="D5" s="14" t="s">
        <v>610</v>
      </c>
      <c r="E5" s="14" t="s">
        <v>611</v>
      </c>
      <c r="F5" s="14" t="s">
        <v>612</v>
      </c>
      <c r="G5" s="14" t="s">
        <v>583</v>
      </c>
      <c r="H5" s="14" t="s">
        <v>584</v>
      </c>
      <c r="I5" s="14" t="s">
        <v>613</v>
      </c>
      <c r="J5" s="14" t="s">
        <v>614</v>
      </c>
      <c r="K5" s="14" t="s">
        <v>58</v>
      </c>
      <c r="L5" s="14" t="s">
        <v>588</v>
      </c>
      <c r="M5" s="14" t="s">
        <v>601</v>
      </c>
      <c r="N5" s="14" t="s">
        <v>117</v>
      </c>
      <c r="O5" s="14" t="s">
        <v>615</v>
      </c>
      <c r="P5" s="14"/>
      <c r="Q5" s="14" t="s">
        <v>40</v>
      </c>
      <c r="R5" s="14"/>
      <c r="S5" s="14"/>
      <c r="T5" s="14" t="s">
        <v>56</v>
      </c>
    </row>
    <row r="6" customFormat="false" ht="15" hidden="false" customHeight="true" outlineLevel="0" collapsed="false">
      <c r="A6" s="14" t="s">
        <v>616</v>
      </c>
      <c r="B6" s="14" t="s">
        <v>617</v>
      </c>
      <c r="C6" s="14" t="s">
        <v>579</v>
      </c>
      <c r="D6" s="14" t="s">
        <v>618</v>
      </c>
      <c r="E6" s="14" t="s">
        <v>619</v>
      </c>
      <c r="F6" s="14" t="s">
        <v>620</v>
      </c>
      <c r="G6" s="14" t="s">
        <v>583</v>
      </c>
      <c r="H6" s="14" t="s">
        <v>584</v>
      </c>
      <c r="I6" s="14" t="s">
        <v>621</v>
      </c>
      <c r="J6" s="14" t="s">
        <v>622</v>
      </c>
      <c r="K6" s="14" t="s">
        <v>58</v>
      </c>
      <c r="L6" s="14" t="s">
        <v>588</v>
      </c>
      <c r="M6" s="14" t="s">
        <v>276</v>
      </c>
      <c r="N6" s="14" t="s">
        <v>106</v>
      </c>
      <c r="O6" s="14" t="s">
        <v>615</v>
      </c>
      <c r="P6" s="14"/>
      <c r="Q6" s="14" t="s">
        <v>40</v>
      </c>
      <c r="R6" s="14"/>
      <c r="S6" s="14"/>
      <c r="T6" s="14" t="s">
        <v>56</v>
      </c>
    </row>
    <row r="7" customFormat="false" ht="45.75" hidden="false" customHeight="true" outlineLevel="0" collapsed="false">
      <c r="A7" s="14" t="s">
        <v>623</v>
      </c>
      <c r="B7" s="14" t="s">
        <v>624</v>
      </c>
      <c r="C7" s="14" t="s">
        <v>625</v>
      </c>
      <c r="D7" s="14" t="s">
        <v>626</v>
      </c>
      <c r="E7" s="14" t="s">
        <v>627</v>
      </c>
      <c r="F7" s="14" t="s">
        <v>628</v>
      </c>
      <c r="G7" s="14" t="s">
        <v>629</v>
      </c>
      <c r="H7" s="14" t="s">
        <v>584</v>
      </c>
      <c r="I7" s="14" t="s">
        <v>630</v>
      </c>
      <c r="J7" s="14" t="s">
        <v>631</v>
      </c>
      <c r="K7" s="14" t="s">
        <v>154</v>
      </c>
      <c r="L7" s="14" t="s">
        <v>632</v>
      </c>
      <c r="M7" s="14" t="s">
        <v>276</v>
      </c>
      <c r="N7" s="14" t="s">
        <v>106</v>
      </c>
      <c r="O7" s="14" t="s">
        <v>615</v>
      </c>
      <c r="P7" s="14"/>
      <c r="Q7" s="14" t="s">
        <v>40</v>
      </c>
      <c r="R7" s="14"/>
      <c r="S7" s="14"/>
      <c r="T7" s="14" t="s">
        <v>66</v>
      </c>
    </row>
    <row r="8" customFormat="false" ht="34.5" hidden="false" customHeight="true" outlineLevel="0" collapsed="false">
      <c r="A8" s="14" t="s">
        <v>354</v>
      </c>
      <c r="B8" s="14" t="s">
        <v>633</v>
      </c>
      <c r="C8" s="14" t="s">
        <v>634</v>
      </c>
      <c r="D8" s="14" t="s">
        <v>635</v>
      </c>
      <c r="E8" s="14" t="s">
        <v>636</v>
      </c>
      <c r="F8" s="14" t="s">
        <v>637</v>
      </c>
      <c r="G8" s="14" t="s">
        <v>638</v>
      </c>
      <c r="H8" s="14" t="s">
        <v>639</v>
      </c>
      <c r="I8" s="14" t="s">
        <v>640</v>
      </c>
      <c r="J8" s="14" t="s">
        <v>641</v>
      </c>
      <c r="K8" s="14" t="s">
        <v>154</v>
      </c>
      <c r="L8" s="14" t="s">
        <v>642</v>
      </c>
      <c r="M8" s="14" t="s">
        <v>643</v>
      </c>
      <c r="N8" s="14" t="s">
        <v>106</v>
      </c>
      <c r="O8" s="14" t="s">
        <v>184</v>
      </c>
      <c r="P8" s="14" t="s">
        <v>644</v>
      </c>
      <c r="Q8" s="14" t="s">
        <v>40</v>
      </c>
      <c r="R8" s="14"/>
      <c r="S8" s="14"/>
      <c r="T8" s="14" t="s">
        <v>78</v>
      </c>
    </row>
    <row r="9" customFormat="false" ht="45.75" hidden="false" customHeight="true" outlineLevel="0" collapsed="false">
      <c r="A9" s="14" t="s">
        <v>322</v>
      </c>
      <c r="B9" s="14" t="s">
        <v>645</v>
      </c>
      <c r="C9" s="14" t="s">
        <v>315</v>
      </c>
      <c r="D9" s="14" t="s">
        <v>646</v>
      </c>
      <c r="E9" s="14" t="s">
        <v>647</v>
      </c>
      <c r="F9" s="14" t="s">
        <v>648</v>
      </c>
      <c r="G9" s="14" t="s">
        <v>649</v>
      </c>
      <c r="H9" s="14" t="s">
        <v>639</v>
      </c>
      <c r="I9" s="14" t="s">
        <v>650</v>
      </c>
      <c r="J9" s="14" t="s">
        <v>651</v>
      </c>
      <c r="K9" s="14" t="s">
        <v>179</v>
      </c>
      <c r="L9" s="14" t="s">
        <v>652</v>
      </c>
      <c r="M9" s="14" t="s">
        <v>249</v>
      </c>
      <c r="N9" s="14" t="s">
        <v>106</v>
      </c>
      <c r="O9" s="14" t="s">
        <v>653</v>
      </c>
      <c r="P9" s="14" t="s">
        <v>644</v>
      </c>
      <c r="Q9" s="14" t="s">
        <v>40</v>
      </c>
      <c r="R9" s="14"/>
      <c r="S9" s="14"/>
      <c r="T9" s="14" t="s">
        <v>63</v>
      </c>
    </row>
    <row r="10" customFormat="false" ht="34.5" hidden="false" customHeight="true" outlineLevel="0" collapsed="false">
      <c r="A10" s="14" t="s">
        <v>331</v>
      </c>
      <c r="B10" s="14" t="s">
        <v>654</v>
      </c>
      <c r="C10" s="14" t="s">
        <v>315</v>
      </c>
      <c r="D10" s="14" t="s">
        <v>655</v>
      </c>
      <c r="E10" s="14" t="s">
        <v>656</v>
      </c>
      <c r="F10" s="14" t="s">
        <v>657</v>
      </c>
      <c r="G10" s="14" t="s">
        <v>658</v>
      </c>
      <c r="H10" s="14" t="s">
        <v>639</v>
      </c>
      <c r="I10" s="14" t="s">
        <v>659</v>
      </c>
      <c r="J10" s="14" t="s">
        <v>660</v>
      </c>
      <c r="K10" s="14" t="s">
        <v>71</v>
      </c>
      <c r="L10" s="14" t="s">
        <v>588</v>
      </c>
      <c r="M10" s="14" t="s">
        <v>249</v>
      </c>
      <c r="N10" s="14" t="s">
        <v>106</v>
      </c>
      <c r="O10" s="14" t="s">
        <v>661</v>
      </c>
      <c r="P10" s="14"/>
      <c r="Q10" s="14" t="s">
        <v>40</v>
      </c>
      <c r="R10" s="14"/>
      <c r="S10" s="14"/>
      <c r="T10" s="14" t="s">
        <v>69</v>
      </c>
    </row>
    <row r="11" customFormat="false" ht="23.25" hidden="false" customHeight="true" outlineLevel="0" collapsed="false">
      <c r="A11" s="14" t="s">
        <v>267</v>
      </c>
      <c r="B11" s="14" t="s">
        <v>662</v>
      </c>
      <c r="C11" s="14" t="s">
        <v>579</v>
      </c>
      <c r="D11" s="14" t="s">
        <v>663</v>
      </c>
      <c r="E11" s="14" t="s">
        <v>619</v>
      </c>
      <c r="F11" s="14" t="s">
        <v>664</v>
      </c>
      <c r="G11" s="14" t="s">
        <v>583</v>
      </c>
      <c r="H11" s="14" t="s">
        <v>639</v>
      </c>
      <c r="I11" s="14" t="s">
        <v>665</v>
      </c>
      <c r="J11" s="14" t="s">
        <v>666</v>
      </c>
      <c r="K11" s="14" t="s">
        <v>268</v>
      </c>
      <c r="L11" s="14" t="s">
        <v>588</v>
      </c>
      <c r="M11" s="14" t="s">
        <v>276</v>
      </c>
      <c r="N11" s="14" t="s">
        <v>106</v>
      </c>
      <c r="O11" s="14" t="s">
        <v>615</v>
      </c>
      <c r="P11" s="14"/>
      <c r="Q11" s="14" t="s">
        <v>40</v>
      </c>
      <c r="R11" s="14"/>
      <c r="S11" s="14"/>
      <c r="T11" s="14" t="s">
        <v>72</v>
      </c>
    </row>
    <row r="12" customFormat="false" ht="23.85" hidden="false" customHeight="false" outlineLevel="0" collapsed="false">
      <c r="A12" s="14" t="s">
        <v>667</v>
      </c>
      <c r="B12" s="14" t="s">
        <v>668</v>
      </c>
      <c r="C12" s="14" t="s">
        <v>593</v>
      </c>
      <c r="D12" s="14" t="s">
        <v>669</v>
      </c>
      <c r="E12" s="14" t="s">
        <v>670</v>
      </c>
      <c r="F12" s="14" t="s">
        <v>671</v>
      </c>
      <c r="G12" s="14" t="s">
        <v>672</v>
      </c>
      <c r="H12" s="14" t="s">
        <v>639</v>
      </c>
      <c r="I12" s="14" t="s">
        <v>673</v>
      </c>
      <c r="J12" s="14" t="s">
        <v>674</v>
      </c>
      <c r="K12" s="14" t="s">
        <v>62</v>
      </c>
      <c r="L12" s="14" t="s">
        <v>588</v>
      </c>
      <c r="M12" s="14" t="s">
        <v>276</v>
      </c>
      <c r="N12" s="14" t="s">
        <v>106</v>
      </c>
      <c r="O12" s="14" t="s">
        <v>615</v>
      </c>
      <c r="P12" s="14" t="s">
        <v>675</v>
      </c>
      <c r="Q12" s="14" t="s">
        <v>40</v>
      </c>
      <c r="R12" s="14"/>
      <c r="S12" s="14"/>
      <c r="T12" s="14" t="s">
        <v>60</v>
      </c>
    </row>
    <row r="13" customFormat="false" ht="23.85" hidden="false" customHeight="false" outlineLevel="0" collapsed="false">
      <c r="A13" s="14" t="s">
        <v>676</v>
      </c>
      <c r="B13" s="14" t="s">
        <v>677</v>
      </c>
      <c r="C13" s="14" t="s">
        <v>593</v>
      </c>
      <c r="D13" s="14" t="s">
        <v>646</v>
      </c>
      <c r="E13" s="14" t="s">
        <v>678</v>
      </c>
      <c r="F13" s="14" t="s">
        <v>679</v>
      </c>
      <c r="G13" s="14" t="s">
        <v>680</v>
      </c>
      <c r="H13" s="14" t="s">
        <v>639</v>
      </c>
      <c r="I13" s="14" t="s">
        <v>681</v>
      </c>
      <c r="J13" s="14" t="s">
        <v>682</v>
      </c>
      <c r="K13" s="14" t="s">
        <v>101</v>
      </c>
      <c r="L13" s="14" t="s">
        <v>588</v>
      </c>
      <c r="M13" s="14" t="s">
        <v>601</v>
      </c>
      <c r="N13" s="14" t="s">
        <v>106</v>
      </c>
      <c r="O13" s="14" t="s">
        <v>615</v>
      </c>
      <c r="P13" s="14" t="s">
        <v>683</v>
      </c>
      <c r="Q13" s="14" t="s">
        <v>40</v>
      </c>
      <c r="R13" s="14"/>
      <c r="S13" s="14"/>
      <c r="T13" s="14" t="s">
        <v>60</v>
      </c>
    </row>
    <row r="14" customFormat="false" ht="23.85" hidden="false" customHeight="false" outlineLevel="0" collapsed="false">
      <c r="A14" s="14" t="s">
        <v>684</v>
      </c>
      <c r="B14" s="14" t="s">
        <v>685</v>
      </c>
      <c r="C14" s="14" t="s">
        <v>593</v>
      </c>
      <c r="D14" s="14" t="s">
        <v>686</v>
      </c>
      <c r="E14" s="14" t="s">
        <v>687</v>
      </c>
      <c r="F14" s="14" t="s">
        <v>688</v>
      </c>
      <c r="G14" s="14" t="s">
        <v>689</v>
      </c>
      <c r="H14" s="14" t="s">
        <v>584</v>
      </c>
      <c r="I14" s="14" t="s">
        <v>690</v>
      </c>
      <c r="J14" s="14" t="s">
        <v>691</v>
      </c>
      <c r="K14" s="14" t="s">
        <v>101</v>
      </c>
      <c r="L14" s="14" t="s">
        <v>588</v>
      </c>
      <c r="M14" s="14" t="s">
        <v>276</v>
      </c>
      <c r="N14" s="14" t="s">
        <v>106</v>
      </c>
      <c r="O14" s="14" t="s">
        <v>615</v>
      </c>
      <c r="P14" s="14" t="s">
        <v>418</v>
      </c>
      <c r="Q14" s="14" t="s">
        <v>40</v>
      </c>
      <c r="R14" s="14"/>
      <c r="S14" s="14"/>
      <c r="T14" s="14" t="s">
        <v>60</v>
      </c>
    </row>
    <row r="15" customFormat="false" ht="46.25" hidden="false" customHeight="false" outlineLevel="0" collapsed="false">
      <c r="A15" s="14" t="s">
        <v>692</v>
      </c>
      <c r="B15" s="14" t="s">
        <v>693</v>
      </c>
      <c r="C15" s="14" t="s">
        <v>579</v>
      </c>
      <c r="D15" s="14" t="s">
        <v>694</v>
      </c>
      <c r="E15" s="14" t="s">
        <v>695</v>
      </c>
      <c r="F15" s="14" t="s">
        <v>696</v>
      </c>
      <c r="G15" s="14" t="s">
        <v>697</v>
      </c>
      <c r="H15" s="14" t="s">
        <v>584</v>
      </c>
      <c r="I15" s="14" t="s">
        <v>698</v>
      </c>
      <c r="J15" s="14" t="s">
        <v>699</v>
      </c>
      <c r="K15" s="14" t="s">
        <v>154</v>
      </c>
      <c r="L15" s="14" t="s">
        <v>700</v>
      </c>
      <c r="M15" s="14" t="s">
        <v>276</v>
      </c>
      <c r="N15" s="14" t="s">
        <v>106</v>
      </c>
      <c r="O15" s="14" t="s">
        <v>615</v>
      </c>
      <c r="P15" s="14"/>
      <c r="Q15" s="14" t="s">
        <v>40</v>
      </c>
      <c r="R15" s="14"/>
      <c r="S15" s="14"/>
      <c r="T15" s="14" t="s">
        <v>72</v>
      </c>
    </row>
    <row r="16" customFormat="false" ht="23.85" hidden="false" customHeight="false" outlineLevel="0" collapsed="false">
      <c r="A16" s="14" t="s">
        <v>701</v>
      </c>
      <c r="B16" s="14" t="s">
        <v>702</v>
      </c>
      <c r="C16" s="14" t="s">
        <v>593</v>
      </c>
      <c r="D16" s="14" t="s">
        <v>230</v>
      </c>
      <c r="E16" s="14" t="s">
        <v>703</v>
      </c>
      <c r="F16" s="14" t="s">
        <v>704</v>
      </c>
      <c r="G16" s="14" t="s">
        <v>705</v>
      </c>
      <c r="H16" s="14" t="s">
        <v>639</v>
      </c>
      <c r="I16" s="14" t="s">
        <v>706</v>
      </c>
      <c r="J16" s="14" t="s">
        <v>707</v>
      </c>
      <c r="K16" s="14" t="s">
        <v>101</v>
      </c>
      <c r="L16" s="14" t="s">
        <v>588</v>
      </c>
      <c r="M16" s="14" t="s">
        <v>249</v>
      </c>
      <c r="N16" s="14" t="s">
        <v>106</v>
      </c>
      <c r="O16" s="14" t="s">
        <v>615</v>
      </c>
      <c r="P16" s="14" t="s">
        <v>708</v>
      </c>
      <c r="Q16" s="14" t="s">
        <v>40</v>
      </c>
      <c r="R16" s="14"/>
      <c r="S16" s="14"/>
      <c r="T16" s="14" t="s">
        <v>63</v>
      </c>
    </row>
    <row r="17" customFormat="false" ht="46.25" hidden="false" customHeight="false" outlineLevel="0" collapsed="false">
      <c r="A17" s="14" t="s">
        <v>709</v>
      </c>
      <c r="B17" s="14" t="s">
        <v>710</v>
      </c>
      <c r="C17" s="14" t="s">
        <v>315</v>
      </c>
      <c r="D17" s="14" t="s">
        <v>711</v>
      </c>
      <c r="E17" s="14" t="s">
        <v>712</v>
      </c>
      <c r="F17" s="14" t="s">
        <v>713</v>
      </c>
      <c r="G17" s="14" t="s">
        <v>714</v>
      </c>
      <c r="H17" s="14" t="s">
        <v>715</v>
      </c>
      <c r="I17" s="14" t="s">
        <v>716</v>
      </c>
      <c r="J17" s="14" t="s">
        <v>717</v>
      </c>
      <c r="K17" s="14" t="s">
        <v>718</v>
      </c>
      <c r="L17" s="14" t="s">
        <v>588</v>
      </c>
      <c r="M17" s="14" t="s">
        <v>249</v>
      </c>
      <c r="N17" s="14" t="s">
        <v>106</v>
      </c>
      <c r="O17" s="14" t="s">
        <v>661</v>
      </c>
      <c r="P17" s="14" t="s">
        <v>719</v>
      </c>
      <c r="Q17" s="14" t="s">
        <v>40</v>
      </c>
      <c r="R17" s="14"/>
      <c r="S17" s="14"/>
      <c r="T17" s="14" t="s">
        <v>69</v>
      </c>
    </row>
    <row r="18" customFormat="false" ht="35.05" hidden="false" customHeight="false" outlineLevel="0" collapsed="false">
      <c r="A18" s="14" t="s">
        <v>720</v>
      </c>
      <c r="B18" s="14" t="s">
        <v>721</v>
      </c>
      <c r="C18" s="14" t="s">
        <v>315</v>
      </c>
      <c r="D18" s="14" t="s">
        <v>722</v>
      </c>
      <c r="E18" s="14" t="s">
        <v>723</v>
      </c>
      <c r="F18" s="14" t="s">
        <v>724</v>
      </c>
      <c r="G18" s="14" t="s">
        <v>725</v>
      </c>
      <c r="H18" s="14" t="s">
        <v>639</v>
      </c>
      <c r="I18" s="14" t="s">
        <v>726</v>
      </c>
      <c r="J18" s="14" t="s">
        <v>727</v>
      </c>
      <c r="K18" s="14" t="s">
        <v>452</v>
      </c>
      <c r="L18" s="14" t="s">
        <v>588</v>
      </c>
      <c r="M18" s="14" t="s">
        <v>728</v>
      </c>
      <c r="N18" s="14" t="s">
        <v>106</v>
      </c>
      <c r="O18" s="14" t="s">
        <v>337</v>
      </c>
      <c r="P18" s="14"/>
      <c r="Q18" s="14" t="s">
        <v>40</v>
      </c>
      <c r="R18" s="14"/>
      <c r="S18" s="14"/>
      <c r="T18" s="14" t="s">
        <v>69</v>
      </c>
    </row>
    <row r="19" customFormat="false" ht="23.85" hidden="false" customHeight="false" outlineLevel="0" collapsed="false">
      <c r="A19" s="14" t="s">
        <v>729</v>
      </c>
      <c r="B19" s="14" t="s">
        <v>730</v>
      </c>
      <c r="C19" s="14" t="s">
        <v>315</v>
      </c>
      <c r="D19" s="14" t="s">
        <v>230</v>
      </c>
      <c r="E19" s="14" t="s">
        <v>731</v>
      </c>
      <c r="F19" s="14" t="s">
        <v>732</v>
      </c>
      <c r="G19" s="14" t="s">
        <v>733</v>
      </c>
      <c r="H19" s="14" t="s">
        <v>639</v>
      </c>
      <c r="I19" s="14" t="s">
        <v>734</v>
      </c>
      <c r="J19" s="14" t="s">
        <v>735</v>
      </c>
      <c r="K19" s="14" t="s">
        <v>101</v>
      </c>
      <c r="L19" s="14" t="s">
        <v>588</v>
      </c>
      <c r="M19" s="14" t="s">
        <v>249</v>
      </c>
      <c r="N19" s="14" t="s">
        <v>106</v>
      </c>
      <c r="O19" s="14" t="s">
        <v>337</v>
      </c>
      <c r="P19" s="14"/>
      <c r="Q19" s="14" t="s">
        <v>40</v>
      </c>
      <c r="R19" s="14"/>
      <c r="S19" s="14"/>
      <c r="T19" s="14" t="s">
        <v>69</v>
      </c>
    </row>
    <row r="20" customFormat="false" ht="23.85" hidden="false" customHeight="false" outlineLevel="0" collapsed="false">
      <c r="A20" s="14" t="s">
        <v>736</v>
      </c>
      <c r="B20" s="14" t="s">
        <v>737</v>
      </c>
      <c r="C20" s="14" t="s">
        <v>357</v>
      </c>
      <c r="D20" s="14" t="s">
        <v>738</v>
      </c>
      <c r="E20" s="14" t="s">
        <v>739</v>
      </c>
      <c r="F20" s="14" t="s">
        <v>740</v>
      </c>
      <c r="G20" s="14" t="s">
        <v>453</v>
      </c>
      <c r="H20" s="14" t="s">
        <v>639</v>
      </c>
      <c r="I20" s="14" t="s">
        <v>741</v>
      </c>
      <c r="J20" s="14" t="s">
        <v>742</v>
      </c>
      <c r="K20" s="14" t="s">
        <v>83</v>
      </c>
      <c r="L20" s="14" t="s">
        <v>588</v>
      </c>
      <c r="M20" s="14" t="s">
        <v>286</v>
      </c>
      <c r="N20" s="14" t="s">
        <v>106</v>
      </c>
      <c r="O20" s="14" t="s">
        <v>184</v>
      </c>
      <c r="P20" s="14"/>
      <c r="Q20" s="14" t="s">
        <v>40</v>
      </c>
      <c r="R20" s="14"/>
      <c r="S20" s="14"/>
      <c r="T20" s="14" t="s">
        <v>81</v>
      </c>
    </row>
    <row r="21" customFormat="false" ht="23.85" hidden="false" customHeight="false" outlineLevel="0" collapsed="false">
      <c r="A21" s="14" t="s">
        <v>743</v>
      </c>
      <c r="B21" s="14" t="s">
        <v>744</v>
      </c>
      <c r="C21" s="14" t="s">
        <v>280</v>
      </c>
      <c r="D21" s="14" t="s">
        <v>745</v>
      </c>
      <c r="E21" s="14" t="s">
        <v>746</v>
      </c>
      <c r="F21" s="14" t="s">
        <v>747</v>
      </c>
      <c r="G21" s="14" t="s">
        <v>748</v>
      </c>
      <c r="H21" s="14" t="s">
        <v>639</v>
      </c>
      <c r="I21" s="14" t="s">
        <v>749</v>
      </c>
      <c r="J21" s="14" t="s">
        <v>750</v>
      </c>
      <c r="K21" s="14" t="s">
        <v>101</v>
      </c>
      <c r="L21" s="14" t="s">
        <v>588</v>
      </c>
      <c r="M21" s="14" t="s">
        <v>751</v>
      </c>
      <c r="N21" s="14" t="s">
        <v>106</v>
      </c>
      <c r="O21" s="14" t="s">
        <v>184</v>
      </c>
      <c r="P21" s="14"/>
      <c r="Q21" s="14" t="s">
        <v>40</v>
      </c>
      <c r="R21" s="14"/>
      <c r="S21" s="14"/>
      <c r="T21" s="14" t="s">
        <v>81</v>
      </c>
    </row>
    <row r="22" customFormat="false" ht="35.05" hidden="false" customHeight="false" outlineLevel="0" collapsed="false">
      <c r="A22" s="14" t="s">
        <v>752</v>
      </c>
      <c r="B22" s="14" t="s">
        <v>753</v>
      </c>
      <c r="C22" s="14" t="s">
        <v>754</v>
      </c>
      <c r="D22" s="14" t="s">
        <v>230</v>
      </c>
      <c r="E22" s="14" t="s">
        <v>755</v>
      </c>
      <c r="F22" s="14" t="s">
        <v>756</v>
      </c>
      <c r="G22" s="14" t="s">
        <v>757</v>
      </c>
      <c r="H22" s="14" t="s">
        <v>758</v>
      </c>
      <c r="I22" s="14" t="s">
        <v>759</v>
      </c>
      <c r="J22" s="14" t="s">
        <v>760</v>
      </c>
      <c r="K22" s="14" t="s">
        <v>434</v>
      </c>
      <c r="L22" s="14" t="s">
        <v>588</v>
      </c>
      <c r="M22" s="14" t="s">
        <v>238</v>
      </c>
      <c r="N22" s="14" t="s">
        <v>106</v>
      </c>
      <c r="O22" s="14" t="s">
        <v>761</v>
      </c>
      <c r="P22" s="14" t="s">
        <v>762</v>
      </c>
      <c r="Q22" s="14" t="s">
        <v>40</v>
      </c>
      <c r="R22" s="14"/>
      <c r="S22" s="14"/>
      <c r="T22" s="14" t="s">
        <v>84</v>
      </c>
    </row>
    <row r="23" customFormat="false" ht="35.05" hidden="false" customHeight="false" outlineLevel="0" collapsed="false">
      <c r="A23" s="14" t="s">
        <v>763</v>
      </c>
      <c r="B23" s="14" t="s">
        <v>764</v>
      </c>
      <c r="C23" s="14" t="s">
        <v>357</v>
      </c>
      <c r="D23" s="14" t="s">
        <v>230</v>
      </c>
      <c r="E23" s="14" t="s">
        <v>765</v>
      </c>
      <c r="F23" s="14" t="s">
        <v>766</v>
      </c>
      <c r="G23" s="14" t="s">
        <v>767</v>
      </c>
      <c r="H23" s="14" t="s">
        <v>758</v>
      </c>
      <c r="I23" s="14" t="s">
        <v>768</v>
      </c>
      <c r="J23" s="14" t="s">
        <v>760</v>
      </c>
      <c r="K23" s="14" t="s">
        <v>206</v>
      </c>
      <c r="L23" s="14" t="s">
        <v>588</v>
      </c>
      <c r="M23" s="14" t="s">
        <v>286</v>
      </c>
      <c r="N23" s="14" t="s">
        <v>106</v>
      </c>
      <c r="O23" s="14" t="s">
        <v>184</v>
      </c>
      <c r="P23" s="14" t="s">
        <v>762</v>
      </c>
      <c r="Q23" s="14" t="s">
        <v>40</v>
      </c>
      <c r="R23" s="14"/>
      <c r="S23" s="14"/>
      <c r="T23" s="14" t="s">
        <v>84</v>
      </c>
    </row>
  </sheetData>
  <autoFilter ref="A1:T23"/>
  <dataValidations count="5">
    <dataValidation allowBlank="true" errorStyle="stop" operator="between" showDropDown="false" showErrorMessage="false" showInputMessage="false" sqref="C2:C300" type="list">
      <formula1>Lists!$G$2:$G$9</formula1>
      <formula2>0</formula2>
    </dataValidation>
    <dataValidation allowBlank="true" errorStyle="stop" operator="between" showDropDown="false" showErrorMessage="false" showInputMessage="false" sqref="H2:H300" type="list">
      <formula1>Lists!$H$2:$H$4</formula1>
      <formula2>0</formula2>
    </dataValidation>
    <dataValidation allowBlank="true" errorStyle="stop" operator="between" showDropDown="false" showErrorMessage="false" showInputMessage="false" sqref="M2:M300" type="list">
      <formula1>Lists!$I$2:$I$8</formula1>
      <formula2>0</formula2>
    </dataValidation>
    <dataValidation allowBlank="true" errorStyle="stop" operator="between" showDropDown="false" showErrorMessage="false" showInputMessage="false" sqref="Q2:Q300" type="list">
      <formula1>Lists!$J$2:$J$5</formula1>
      <formula2>0</formula2>
    </dataValidation>
    <dataValidation allowBlank="true" errorStyle="stop" operator="between" showDropDown="false" showErrorMessage="false" showInputMessage="false" sqref="T2:T300" type="list">
      <formula1>Lists!$K$2:$K$11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3" min="3" style="1" width="48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8"/>
    <col collapsed="false" customWidth="true" hidden="false" outlineLevel="0" max="10" min="10" style="1" width="44"/>
    <col collapsed="false" customWidth="true" hidden="false" outlineLevel="0" max="11" min="11" style="1" width="10"/>
    <col collapsed="false" customWidth="true" hidden="false" outlineLevel="0" max="14" min="12" style="1" width="14"/>
    <col collapsed="false" customWidth="true" hidden="false" outlineLevel="0" max="16" min="15" style="1" width="12"/>
    <col collapsed="false" customWidth="true" hidden="false" outlineLevel="0" max="17" min="17" style="1" width="24"/>
  </cols>
  <sheetData>
    <row r="1" customFormat="false" ht="31.5" hidden="false" customHeight="true" outlineLevel="0" collapsed="false">
      <c r="A1" s="9" t="s">
        <v>769</v>
      </c>
      <c r="B1" s="9" t="s">
        <v>770</v>
      </c>
      <c r="C1" s="9" t="s">
        <v>771</v>
      </c>
      <c r="D1" s="9" t="s">
        <v>772</v>
      </c>
      <c r="E1" s="9" t="s">
        <v>773</v>
      </c>
      <c r="F1" s="9" t="s">
        <v>774</v>
      </c>
      <c r="G1" s="9" t="s">
        <v>775</v>
      </c>
      <c r="H1" s="9" t="s">
        <v>776</v>
      </c>
      <c r="I1" s="9" t="s">
        <v>223</v>
      </c>
      <c r="J1" s="9" t="s">
        <v>777</v>
      </c>
      <c r="K1" s="9" t="s">
        <v>89</v>
      </c>
      <c r="L1" s="9" t="s">
        <v>569</v>
      </c>
      <c r="M1" s="9" t="s">
        <v>574</v>
      </c>
      <c r="N1" s="9" t="s">
        <v>575</v>
      </c>
      <c r="O1" s="9" t="s">
        <v>576</v>
      </c>
      <c r="P1" s="9" t="s">
        <v>778</v>
      </c>
      <c r="Q1" s="9" t="s">
        <v>44</v>
      </c>
    </row>
    <row r="2" customFormat="false" ht="45.75" hidden="false" customHeight="true" outlineLevel="0" collapsed="false">
      <c r="A2" s="14" t="s">
        <v>779</v>
      </c>
      <c r="B2" s="14" t="s">
        <v>780</v>
      </c>
      <c r="C2" s="14" t="s">
        <v>781</v>
      </c>
      <c r="D2" s="14" t="s">
        <v>782</v>
      </c>
      <c r="E2" s="14" t="s">
        <v>783</v>
      </c>
      <c r="F2" s="14" t="s">
        <v>117</v>
      </c>
      <c r="G2" s="14" t="s">
        <v>784</v>
      </c>
      <c r="H2" s="14" t="s">
        <v>785</v>
      </c>
      <c r="I2" s="14" t="s">
        <v>601</v>
      </c>
      <c r="J2" s="14" t="s">
        <v>786</v>
      </c>
      <c r="K2" s="14" t="s">
        <v>101</v>
      </c>
      <c r="L2" s="14" t="s">
        <v>787</v>
      </c>
      <c r="M2" s="14" t="s">
        <v>40</v>
      </c>
      <c r="N2" s="14"/>
      <c r="O2" s="14"/>
      <c r="P2" s="14" t="s">
        <v>788</v>
      </c>
      <c r="Q2" s="14" t="s">
        <v>60</v>
      </c>
    </row>
    <row r="3" customFormat="false" ht="34.5" hidden="false" customHeight="true" outlineLevel="0" collapsed="false">
      <c r="A3" s="14" t="s">
        <v>789</v>
      </c>
      <c r="B3" s="14" t="s">
        <v>790</v>
      </c>
      <c r="C3" s="14" t="s">
        <v>791</v>
      </c>
      <c r="D3" s="14" t="s">
        <v>588</v>
      </c>
      <c r="E3" s="14" t="s">
        <v>588</v>
      </c>
      <c r="F3" s="14" t="s">
        <v>106</v>
      </c>
      <c r="G3" s="14" t="s">
        <v>792</v>
      </c>
      <c r="H3" s="14" t="s">
        <v>793</v>
      </c>
      <c r="I3" s="14" t="s">
        <v>276</v>
      </c>
      <c r="J3" s="14" t="s">
        <v>794</v>
      </c>
      <c r="K3" s="14" t="s">
        <v>58</v>
      </c>
      <c r="L3" s="14" t="s">
        <v>588</v>
      </c>
      <c r="M3" s="14" t="s">
        <v>40</v>
      </c>
      <c r="N3" s="14"/>
      <c r="O3" s="14"/>
      <c r="P3" s="14" t="s">
        <v>577</v>
      </c>
      <c r="Q3" s="14" t="s">
        <v>56</v>
      </c>
    </row>
    <row r="4" customFormat="false" ht="34.5" hidden="false" customHeight="true" outlineLevel="0" collapsed="false">
      <c r="A4" s="14" t="s">
        <v>795</v>
      </c>
      <c r="B4" s="14" t="s">
        <v>796</v>
      </c>
      <c r="C4" s="14" t="s">
        <v>797</v>
      </c>
      <c r="D4" s="14" t="s">
        <v>588</v>
      </c>
      <c r="E4" s="14" t="s">
        <v>588</v>
      </c>
      <c r="F4" s="14" t="s">
        <v>117</v>
      </c>
      <c r="G4" s="14" t="s">
        <v>798</v>
      </c>
      <c r="H4" s="14" t="s">
        <v>799</v>
      </c>
      <c r="I4" s="14" t="s">
        <v>601</v>
      </c>
      <c r="J4" s="14" t="s">
        <v>800</v>
      </c>
      <c r="K4" s="14" t="s">
        <v>58</v>
      </c>
      <c r="L4" s="14" t="s">
        <v>588</v>
      </c>
      <c r="M4" s="14" t="s">
        <v>40</v>
      </c>
      <c r="N4" s="14"/>
      <c r="O4" s="14"/>
      <c r="P4" s="14" t="s">
        <v>248</v>
      </c>
      <c r="Q4" s="14" t="s">
        <v>56</v>
      </c>
    </row>
    <row r="5" customFormat="false" ht="34.5" hidden="false" customHeight="true" outlineLevel="0" collapsed="false">
      <c r="A5" s="14" t="s">
        <v>801</v>
      </c>
      <c r="B5" s="14" t="s">
        <v>802</v>
      </c>
      <c r="C5" s="14" t="s">
        <v>803</v>
      </c>
      <c r="D5" s="14" t="s">
        <v>230</v>
      </c>
      <c r="E5" s="14" t="s">
        <v>230</v>
      </c>
      <c r="F5" s="14" t="s">
        <v>106</v>
      </c>
      <c r="G5" s="14" t="s">
        <v>804</v>
      </c>
      <c r="H5" s="14" t="s">
        <v>805</v>
      </c>
      <c r="I5" s="14" t="s">
        <v>249</v>
      </c>
      <c r="J5" s="14" t="s">
        <v>806</v>
      </c>
      <c r="K5" s="14" t="s">
        <v>434</v>
      </c>
      <c r="L5" s="14" t="s">
        <v>807</v>
      </c>
      <c r="M5" s="14" t="s">
        <v>40</v>
      </c>
      <c r="N5" s="14"/>
      <c r="O5" s="14"/>
      <c r="P5" s="14" t="s">
        <v>322</v>
      </c>
      <c r="Q5" s="14" t="s">
        <v>63</v>
      </c>
    </row>
    <row r="6" customFormat="false" ht="45.75" hidden="false" customHeight="true" outlineLevel="0" collapsed="false">
      <c r="A6" s="14" t="s">
        <v>808</v>
      </c>
      <c r="B6" s="14" t="s">
        <v>809</v>
      </c>
      <c r="C6" s="14" t="s">
        <v>810</v>
      </c>
      <c r="D6" s="14" t="s">
        <v>811</v>
      </c>
      <c r="E6" s="14" t="s">
        <v>588</v>
      </c>
      <c r="F6" s="14" t="s">
        <v>106</v>
      </c>
      <c r="G6" s="14" t="s">
        <v>804</v>
      </c>
      <c r="H6" s="14" t="s">
        <v>812</v>
      </c>
      <c r="I6" s="14" t="s">
        <v>349</v>
      </c>
      <c r="J6" s="14" t="s">
        <v>813</v>
      </c>
      <c r="K6" s="14" t="s">
        <v>80</v>
      </c>
      <c r="L6" s="14" t="s">
        <v>814</v>
      </c>
      <c r="M6" s="14" t="s">
        <v>40</v>
      </c>
      <c r="N6" s="14"/>
      <c r="O6" s="14"/>
      <c r="P6" s="14"/>
      <c r="Q6" s="14" t="s">
        <v>78</v>
      </c>
    </row>
    <row r="7" customFormat="false" ht="45.75" hidden="false" customHeight="true" outlineLevel="0" collapsed="false">
      <c r="A7" s="14" t="s">
        <v>815</v>
      </c>
      <c r="B7" s="14" t="s">
        <v>816</v>
      </c>
      <c r="C7" s="14" t="s">
        <v>817</v>
      </c>
      <c r="D7" s="14" t="s">
        <v>588</v>
      </c>
      <c r="E7" s="14" t="s">
        <v>588</v>
      </c>
      <c r="F7" s="14" t="s">
        <v>818</v>
      </c>
      <c r="G7" s="14" t="s">
        <v>819</v>
      </c>
      <c r="H7" s="14" t="s">
        <v>820</v>
      </c>
      <c r="I7" s="14" t="s">
        <v>601</v>
      </c>
      <c r="J7" s="14" t="s">
        <v>821</v>
      </c>
      <c r="K7" s="14" t="s">
        <v>68</v>
      </c>
      <c r="L7" s="14" t="s">
        <v>588</v>
      </c>
      <c r="M7" s="14" t="s">
        <v>40</v>
      </c>
      <c r="N7" s="14"/>
      <c r="O7" s="14"/>
      <c r="P7" s="14"/>
      <c r="Q7" s="14" t="s">
        <v>66</v>
      </c>
    </row>
  </sheetData>
  <autoFilter ref="A1:Q7"/>
  <dataValidations count="3">
    <dataValidation allowBlank="true" errorStyle="stop" operator="between" showDropDown="false" showErrorMessage="false" showInputMessage="false" sqref="I2:I300" type="list">
      <formula1>Lists!$I$2:$I$8</formula1>
      <formula2>0</formula2>
    </dataValidation>
    <dataValidation allowBlank="true" errorStyle="stop" operator="between" showDropDown="false" showErrorMessage="false" showInputMessage="false" sqref="M2:M300" type="list">
      <formula1>Lists!$J$2:$J$5</formula1>
      <formula2>0</formula2>
    </dataValidation>
    <dataValidation allowBlank="true" errorStyle="stop" operator="between" showDropDown="false" showErrorMessage="false" showInputMessage="false" sqref="Q2:Q300" type="list">
      <formula1>Lists!$K$2:$K$11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2"/>
    <col collapsed="false" customWidth="true" hidden="false" outlineLevel="0" max="4" min="3" style="1" width="40"/>
    <col collapsed="false" customWidth="true" hidden="false" outlineLevel="0" max="5" min="5" style="1" width="14"/>
    <col collapsed="false" customWidth="true" hidden="false" outlineLevel="0" max="6" min="6" style="1" width="12"/>
    <col collapsed="false" customWidth="true" hidden="false" outlineLevel="0" max="7" min="7" style="1" width="40"/>
    <col collapsed="false" customWidth="true" hidden="false" outlineLevel="0" max="8" min="8" style="1" width="32"/>
    <col collapsed="false" customWidth="true" hidden="false" outlineLevel="0" max="10" min="9" style="1" width="10"/>
    <col collapsed="false" customWidth="true" hidden="false" outlineLevel="0" max="11" min="11" style="1" width="12"/>
    <col collapsed="false" customWidth="true" hidden="false" outlineLevel="0" max="12" min="12" style="1" width="26"/>
  </cols>
  <sheetData>
    <row r="1" customFormat="false" ht="31.5" hidden="false" customHeight="true" outlineLevel="0" collapsed="false">
      <c r="A1" s="9" t="s">
        <v>822</v>
      </c>
      <c r="B1" s="9" t="s">
        <v>44</v>
      </c>
      <c r="C1" s="9" t="s">
        <v>823</v>
      </c>
      <c r="D1" s="9" t="s">
        <v>824</v>
      </c>
      <c r="E1" s="9" t="s">
        <v>825</v>
      </c>
      <c r="F1" s="9" t="s">
        <v>826</v>
      </c>
      <c r="G1" s="9" t="s">
        <v>827</v>
      </c>
      <c r="H1" s="9" t="s">
        <v>828</v>
      </c>
      <c r="I1" s="9" t="s">
        <v>89</v>
      </c>
      <c r="J1" s="9" t="s">
        <v>54</v>
      </c>
      <c r="K1" s="9" t="s">
        <v>829</v>
      </c>
      <c r="L1" s="9" t="s">
        <v>55</v>
      </c>
    </row>
    <row r="2" customFormat="false" ht="23.25" hidden="false" customHeight="true" outlineLevel="0" collapsed="false">
      <c r="A2" s="14" t="s">
        <v>830</v>
      </c>
      <c r="B2" s="14" t="s">
        <v>56</v>
      </c>
      <c r="C2" s="14" t="s">
        <v>831</v>
      </c>
      <c r="D2" s="14" t="s">
        <v>832</v>
      </c>
      <c r="E2" s="14" t="s">
        <v>577</v>
      </c>
      <c r="F2" s="14" t="s">
        <v>584</v>
      </c>
      <c r="G2" s="14" t="s">
        <v>833</v>
      </c>
      <c r="H2" s="14" t="s">
        <v>834</v>
      </c>
      <c r="I2" s="14" t="s">
        <v>58</v>
      </c>
      <c r="J2" s="14" t="s">
        <v>835</v>
      </c>
      <c r="K2" s="14"/>
      <c r="L2" s="14"/>
    </row>
    <row r="3" customFormat="false" ht="23.25" hidden="false" customHeight="true" outlineLevel="0" collapsed="false">
      <c r="A3" s="14" t="s">
        <v>836</v>
      </c>
      <c r="B3" s="14" t="s">
        <v>60</v>
      </c>
      <c r="C3" s="14" t="s">
        <v>837</v>
      </c>
      <c r="D3" s="14" t="s">
        <v>838</v>
      </c>
      <c r="E3" s="14" t="s">
        <v>591</v>
      </c>
      <c r="F3" s="14" t="s">
        <v>584</v>
      </c>
      <c r="G3" s="14" t="s">
        <v>839</v>
      </c>
      <c r="H3" s="14" t="s">
        <v>840</v>
      </c>
      <c r="I3" s="14" t="s">
        <v>101</v>
      </c>
      <c r="J3" s="14" t="s">
        <v>835</v>
      </c>
      <c r="K3" s="14"/>
      <c r="L3" s="14" t="s">
        <v>841</v>
      </c>
    </row>
    <row r="4" customFormat="false" ht="23.25" hidden="false" customHeight="true" outlineLevel="0" collapsed="false">
      <c r="A4" s="14" t="s">
        <v>842</v>
      </c>
      <c r="B4" s="14" t="s">
        <v>78</v>
      </c>
      <c r="C4" s="14" t="s">
        <v>843</v>
      </c>
      <c r="D4" s="14" t="s">
        <v>844</v>
      </c>
      <c r="E4" s="14" t="s">
        <v>354</v>
      </c>
      <c r="F4" s="14" t="s">
        <v>639</v>
      </c>
      <c r="G4" s="14" t="s">
        <v>845</v>
      </c>
      <c r="H4" s="14" t="s">
        <v>846</v>
      </c>
      <c r="I4" s="14" t="s">
        <v>154</v>
      </c>
      <c r="J4" s="14" t="s">
        <v>835</v>
      </c>
      <c r="K4" s="14"/>
      <c r="L4" s="14"/>
    </row>
    <row r="5" customFormat="false" ht="23.25" hidden="false" customHeight="true" outlineLevel="0" collapsed="false">
      <c r="A5" s="14" t="s">
        <v>847</v>
      </c>
      <c r="B5" s="14" t="s">
        <v>63</v>
      </c>
      <c r="C5" s="14" t="s">
        <v>848</v>
      </c>
      <c r="D5" s="14" t="s">
        <v>849</v>
      </c>
      <c r="E5" s="14" t="s">
        <v>322</v>
      </c>
      <c r="F5" s="14" t="s">
        <v>639</v>
      </c>
      <c r="G5" s="14" t="s">
        <v>850</v>
      </c>
      <c r="H5" s="14" t="s">
        <v>851</v>
      </c>
      <c r="I5" s="14" t="s">
        <v>179</v>
      </c>
      <c r="J5" s="14" t="s">
        <v>835</v>
      </c>
      <c r="K5" s="14"/>
      <c r="L5" s="14"/>
    </row>
    <row r="6" customFormat="false" ht="23.25" hidden="false" customHeight="true" outlineLevel="0" collapsed="false">
      <c r="A6" s="14" t="s">
        <v>852</v>
      </c>
      <c r="B6" s="14" t="s">
        <v>56</v>
      </c>
      <c r="C6" s="14" t="s">
        <v>853</v>
      </c>
      <c r="D6" s="14" t="s">
        <v>854</v>
      </c>
      <c r="E6" s="14" t="s">
        <v>855</v>
      </c>
      <c r="F6" s="14" t="s">
        <v>856</v>
      </c>
      <c r="G6" s="14" t="s">
        <v>857</v>
      </c>
      <c r="H6" s="14" t="s">
        <v>858</v>
      </c>
      <c r="I6" s="14" t="s">
        <v>101</v>
      </c>
      <c r="J6" s="14" t="s">
        <v>835</v>
      </c>
      <c r="K6" s="14"/>
      <c r="L6" s="14" t="s">
        <v>859</v>
      </c>
    </row>
    <row r="7" customFormat="false" ht="23.25" hidden="false" customHeight="true" outlineLevel="0" collapsed="false">
      <c r="A7" s="14" t="s">
        <v>860</v>
      </c>
      <c r="B7" s="14" t="s">
        <v>84</v>
      </c>
      <c r="C7" s="14" t="s">
        <v>861</v>
      </c>
      <c r="D7" s="14" t="s">
        <v>862</v>
      </c>
      <c r="E7" s="14" t="s">
        <v>863</v>
      </c>
      <c r="F7" s="14" t="s">
        <v>758</v>
      </c>
      <c r="G7" s="14" t="s">
        <v>864</v>
      </c>
      <c r="H7" s="14" t="s">
        <v>865</v>
      </c>
      <c r="I7" s="14" t="s">
        <v>206</v>
      </c>
      <c r="J7" s="14" t="s">
        <v>835</v>
      </c>
      <c r="K7" s="14"/>
      <c r="L7" s="14"/>
    </row>
  </sheetData>
  <autoFilter ref="A1:L7"/>
  <dataValidations count="2">
    <dataValidation allowBlank="true" errorStyle="stop" operator="between" showDropDown="false" showErrorMessage="false" showInputMessage="false" sqref="B2:B300" type="list">
      <formula1>Lists!$K$2:$K$11</formula1>
      <formula2>0</formula2>
    </dataValidation>
    <dataValidation allowBlank="true" errorStyle="stop" operator="between" showDropDown="false" showErrorMessage="false" showInputMessage="false" sqref="J2:J300" type="list">
      <formula1>Lists!$O$2:$O$5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1" width="30"/>
  </cols>
  <sheetData>
    <row r="1" customFormat="false" ht="15" hidden="false" customHeight="true" outlineLevel="0" collapsed="false">
      <c r="A1" s="7" t="s">
        <v>93</v>
      </c>
      <c r="B1" s="7" t="s">
        <v>94</v>
      </c>
      <c r="C1" s="7" t="s">
        <v>95</v>
      </c>
      <c r="D1" s="7" t="s">
        <v>97</v>
      </c>
      <c r="E1" s="7" t="s">
        <v>98</v>
      </c>
      <c r="F1" s="7" t="s">
        <v>99</v>
      </c>
      <c r="G1" s="7" t="s">
        <v>866</v>
      </c>
      <c r="H1" s="7" t="s">
        <v>566</v>
      </c>
      <c r="I1" s="7" t="s">
        <v>570</v>
      </c>
      <c r="J1" s="7" t="s">
        <v>574</v>
      </c>
      <c r="K1" s="7" t="s">
        <v>44</v>
      </c>
      <c r="L1" s="7" t="s">
        <v>867</v>
      </c>
      <c r="M1" s="7" t="s">
        <v>218</v>
      </c>
      <c r="N1" s="7" t="s">
        <v>221</v>
      </c>
      <c r="O1" s="7" t="s">
        <v>868</v>
      </c>
    </row>
    <row r="2" customFormat="false" ht="15" hidden="false" customHeight="true" outlineLevel="0" collapsed="false">
      <c r="A2" s="8" t="s">
        <v>105</v>
      </c>
      <c r="B2" s="8" t="s">
        <v>106</v>
      </c>
      <c r="C2" s="8" t="s">
        <v>107</v>
      </c>
      <c r="D2" s="8" t="s">
        <v>161</v>
      </c>
      <c r="E2" s="8" t="s">
        <v>162</v>
      </c>
      <c r="F2" s="8" t="s">
        <v>111</v>
      </c>
      <c r="G2" s="8" t="s">
        <v>579</v>
      </c>
      <c r="H2" s="8" t="s">
        <v>584</v>
      </c>
      <c r="I2" s="8" t="s">
        <v>276</v>
      </c>
      <c r="J2" s="8" t="s">
        <v>40</v>
      </c>
      <c r="K2" s="8" t="s">
        <v>56</v>
      </c>
      <c r="L2" s="8" t="s">
        <v>59</v>
      </c>
      <c r="M2" s="8" t="s">
        <v>233</v>
      </c>
      <c r="N2" s="8" t="s">
        <v>236</v>
      </c>
      <c r="O2" s="8" t="s">
        <v>835</v>
      </c>
    </row>
    <row r="3" customFormat="false" ht="15" hidden="false" customHeight="true" outlineLevel="0" collapsed="false">
      <c r="A3" s="8" t="s">
        <v>116</v>
      </c>
      <c r="B3" s="8" t="s">
        <v>117</v>
      </c>
      <c r="C3" s="8" t="s">
        <v>184</v>
      </c>
      <c r="D3" s="8" t="s">
        <v>109</v>
      </c>
      <c r="E3" s="8" t="s">
        <v>177</v>
      </c>
      <c r="F3" s="8" t="s">
        <v>869</v>
      </c>
      <c r="G3" s="8" t="s">
        <v>625</v>
      </c>
      <c r="H3" s="8" t="s">
        <v>639</v>
      </c>
      <c r="I3" s="8" t="s">
        <v>249</v>
      </c>
      <c r="J3" s="8" t="s">
        <v>41</v>
      </c>
      <c r="K3" s="8" t="s">
        <v>60</v>
      </c>
      <c r="L3" s="8" t="s">
        <v>870</v>
      </c>
      <c r="M3" s="8" t="s">
        <v>184</v>
      </c>
      <c r="N3" s="8" t="s">
        <v>376</v>
      </c>
      <c r="O3" s="8" t="s">
        <v>871</v>
      </c>
    </row>
    <row r="4" customFormat="false" ht="15" hidden="false" customHeight="true" outlineLevel="0" collapsed="false">
      <c r="A4" s="8" t="s">
        <v>145</v>
      </c>
      <c r="B4" s="8" t="s">
        <v>123</v>
      </c>
      <c r="C4" s="8" t="s">
        <v>872</v>
      </c>
      <c r="D4" s="8" t="s">
        <v>176</v>
      </c>
      <c r="E4" s="8" t="s">
        <v>110</v>
      </c>
      <c r="F4" s="8" t="s">
        <v>146</v>
      </c>
      <c r="G4" s="8" t="s">
        <v>634</v>
      </c>
      <c r="H4" s="8" t="s">
        <v>715</v>
      </c>
      <c r="I4" s="8" t="s">
        <v>349</v>
      </c>
      <c r="J4" s="8" t="s">
        <v>42</v>
      </c>
      <c r="K4" s="8" t="s">
        <v>63</v>
      </c>
      <c r="L4" s="8" t="s">
        <v>41</v>
      </c>
      <c r="M4" s="8" t="s">
        <v>337</v>
      </c>
      <c r="O4" s="8" t="s">
        <v>873</v>
      </c>
    </row>
    <row r="5" customFormat="false" ht="15" hidden="false" customHeight="true" outlineLevel="0" collapsed="false">
      <c r="A5" s="8" t="s">
        <v>134</v>
      </c>
      <c r="B5" s="8" t="s">
        <v>152</v>
      </c>
      <c r="D5" s="8" t="s">
        <v>170</v>
      </c>
      <c r="G5" s="8" t="s">
        <v>593</v>
      </c>
      <c r="H5" s="18" t="s">
        <v>758</v>
      </c>
      <c r="I5" s="8" t="s">
        <v>286</v>
      </c>
      <c r="J5" s="8" t="s">
        <v>43</v>
      </c>
      <c r="K5" s="8" t="s">
        <v>66</v>
      </c>
      <c r="L5" s="8" t="s">
        <v>874</v>
      </c>
      <c r="M5" s="8" t="s">
        <v>875</v>
      </c>
      <c r="O5" s="8" t="s">
        <v>876</v>
      </c>
    </row>
    <row r="6" customFormat="false" ht="15" hidden="false" customHeight="true" outlineLevel="0" collapsed="false">
      <c r="A6" s="8" t="s">
        <v>151</v>
      </c>
      <c r="B6" s="8" t="s">
        <v>128</v>
      </c>
      <c r="D6" s="8" t="s">
        <v>110</v>
      </c>
      <c r="G6" s="8" t="s">
        <v>315</v>
      </c>
      <c r="I6" s="8" t="s">
        <v>601</v>
      </c>
      <c r="K6" s="8" t="s">
        <v>69</v>
      </c>
      <c r="M6" s="8" t="s">
        <v>246</v>
      </c>
    </row>
    <row r="7" customFormat="false" ht="15" hidden="false" customHeight="true" outlineLevel="0" collapsed="false">
      <c r="A7" s="8" t="s">
        <v>158</v>
      </c>
      <c r="B7" s="8" t="s">
        <v>159</v>
      </c>
      <c r="G7" s="8" t="s">
        <v>754</v>
      </c>
      <c r="I7" s="8" t="s">
        <v>643</v>
      </c>
      <c r="K7" s="8" t="s">
        <v>72</v>
      </c>
      <c r="M7" s="8" t="s">
        <v>369</v>
      </c>
    </row>
    <row r="8" customFormat="false" ht="15" hidden="false" customHeight="true" outlineLevel="0" collapsed="false">
      <c r="A8" s="8" t="s">
        <v>175</v>
      </c>
      <c r="B8" s="8" t="s">
        <v>183</v>
      </c>
      <c r="G8" s="8" t="s">
        <v>280</v>
      </c>
      <c r="I8" s="8" t="s">
        <v>238</v>
      </c>
      <c r="K8" s="8" t="s">
        <v>75</v>
      </c>
      <c r="M8" s="8" t="s">
        <v>319</v>
      </c>
    </row>
    <row r="9" customFormat="false" ht="15" hidden="false" customHeight="true" outlineLevel="0" collapsed="false">
      <c r="A9" s="8" t="s">
        <v>168</v>
      </c>
      <c r="G9" s="8" t="s">
        <v>357</v>
      </c>
      <c r="K9" s="8" t="s">
        <v>78</v>
      </c>
      <c r="M9" s="8" t="s">
        <v>256</v>
      </c>
    </row>
    <row r="10" customFormat="false" ht="15" hidden="false" customHeight="true" outlineLevel="0" collapsed="false">
      <c r="A10" s="8" t="s">
        <v>182</v>
      </c>
      <c r="K10" s="8" t="s">
        <v>81</v>
      </c>
    </row>
    <row r="11" customFormat="false" ht="15" hidden="false" customHeight="true" outlineLevel="0" collapsed="false">
      <c r="A11" s="8" t="s">
        <v>189</v>
      </c>
      <c r="K11" s="8" t="s">
        <v>84</v>
      </c>
    </row>
    <row r="12" customFormat="false" ht="15" hidden="false" customHeight="true" outlineLevel="0" collapsed="false">
      <c r="A12" s="8" t="s">
        <v>194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2026-10-03T15:47:18Z</dcterms:created>
  <dc:creator>openpyxl</dc:creator>
  <dc:description/>
  <dc:language>en-US</dc:language>
  <cp:lastModifiedBy/>
  <dcterms:modified xsi:type="dcterms:W3CDTF">2026-10-03T16:00:09Z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